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ichele.Kennedy\OneDrive - Purolator\Documents\Projects\CARR\Troubleshooting\10-27-2020\"/>
    </mc:Choice>
  </mc:AlternateContent>
  <bookViews>
    <workbookView xWindow="0" yWindow="0" windowWidth="20490" windowHeight="7155" firstSheet="1" activeTab="3"/>
  </bookViews>
  <sheets>
    <sheet name="SOW" sheetId="5" r:id="rId1"/>
    <sheet name="Recovery &amp; Clearance " sheetId="1" r:id="rId2"/>
    <sheet name="Courier" sheetId="4" r:id="rId3"/>
    <sheet name="Courier Accessorials" sheetId="6" r:id="rId4"/>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1" i="4" l="1"/>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alcChain>
</file>

<file path=xl/sharedStrings.xml><?xml version="1.0" encoding="utf-8"?>
<sst xmlns="http://schemas.openxmlformats.org/spreadsheetml/2006/main" count="266" uniqueCount="210">
  <si>
    <r>
      <t xml:space="preserve">Airport Recovery -- expedited 26' </t>
    </r>
    <r>
      <rPr>
        <b/>
        <i/>
        <sz val="12"/>
        <color indexed="8"/>
        <rFont val="Arial"/>
        <family val="2"/>
      </rPr>
      <t>in-bond</t>
    </r>
    <r>
      <rPr>
        <b/>
        <sz val="12"/>
        <color indexed="8"/>
        <rFont val="Arial"/>
        <family val="2"/>
      </rPr>
      <t xml:space="preserve"> Box Truck</t>
    </r>
  </si>
  <si>
    <t>Recovery from YYZ or YVR Airport to Purolator Facility</t>
  </si>
  <si>
    <t>at MAWB / Per PU</t>
  </si>
  <si>
    <t>Receiving &amp; Clearance</t>
  </si>
  <si>
    <t>Receiving &amp; Clearance Scan</t>
  </si>
  <si>
    <t>Per barcode</t>
  </si>
  <si>
    <t>Shipping</t>
  </si>
  <si>
    <t>Prepare A8A Manifest</t>
  </si>
  <si>
    <t>Per MAWB / Per Consolidation</t>
  </si>
  <si>
    <t>Terminals</t>
  </si>
  <si>
    <t>Navcan</t>
  </si>
  <si>
    <t>Per Pound</t>
  </si>
  <si>
    <t>Brokerage Clearance</t>
  </si>
  <si>
    <t>Brokerage Casual Imports up to CAD $20.00 (CIRO)</t>
  </si>
  <si>
    <t>Per Individual Consignee Shipment</t>
  </si>
  <si>
    <t>Brokerage Casual Imports Between CAD $20.01 to $2,500.00 (CLVS)</t>
  </si>
  <si>
    <t>Brokerage Casual Imports Greater than CAD $2,500.00 (IID/PARS)</t>
  </si>
  <si>
    <t>Per Individual Consignee Shipment. Additional: $1.50 surcharge for items provided without 10 digit HS code, and $6.00 surcharge for items attracting OGD.</t>
  </si>
  <si>
    <t>Non-Resident Importer, Fulfillment by Amazon (FBA), Third Party Warehouses</t>
  </si>
  <si>
    <t>TBD</t>
  </si>
  <si>
    <t>To be determined on a case by case basis.</t>
  </si>
  <si>
    <t>UP TO (LB)</t>
  </si>
  <si>
    <t>D01</t>
  </si>
  <si>
    <t>D02</t>
  </si>
  <si>
    <t>D03</t>
  </si>
  <si>
    <t>D04</t>
  </si>
  <si>
    <t>D05</t>
  </si>
  <si>
    <t>D06</t>
  </si>
  <si>
    <t>D07</t>
  </si>
  <si>
    <t>D08</t>
  </si>
  <si>
    <t>D09</t>
  </si>
  <si>
    <t>D10</t>
  </si>
  <si>
    <t>D11</t>
  </si>
  <si>
    <t>D12</t>
  </si>
  <si>
    <t>D13</t>
  </si>
  <si>
    <t>D14</t>
  </si>
  <si>
    <t>D15</t>
  </si>
  <si>
    <t>D16</t>
  </si>
  <si>
    <t xml:space="preserve">Airport Recovery and Bonded Warehouse </t>
  </si>
  <si>
    <t xml:space="preserve">Purolator will manage the physical handling of goods as well as the required paperwork, to support the customs clearance process from the time shipments arrive at the airport until a Canada Customs decision is made regarding the shipment. Packages that are released from customs will be inducted into the delivery network. </t>
  </si>
  <si>
    <t xml:space="preserve">Packages that are not released will be isolated and disposed of according to the instructions provided by Canada Customs, or the owner of the goods. Disposal includes destruction, abandonment to the crown or return of shipments to origin. </t>
  </si>
  <si>
    <t xml:space="preserve">Specific tasks include: </t>
  </si>
  <si>
    <t xml:space="preserve">• Receive a pre-alert from the Export Agent or a designated agent including the airline, to notify Purolator of a planned inbound shipment </t>
  </si>
  <si>
    <t xml:space="preserve">• Obtain and manage any documentation, or licenses required to transport the shipments from the airlines to the bonded facility </t>
  </si>
  <si>
    <t xml:space="preserve">• Create A8A Cargo Control Documents </t>
  </si>
  <si>
    <t xml:space="preserve">• Re-manifest goods from the airline to the warehouse </t>
  </si>
  <si>
    <t xml:space="preserve">• A messenger/or runner is dispatched to CBSA to complete a multistep process </t>
  </si>
  <si>
    <t xml:space="preserve">• Coordinate and provide transportation of shipments from the airport </t>
  </si>
  <si>
    <t xml:space="preserve">• Administer payment of any destination charges from: CBSA, airport, airlines and airline handlers. Charges may include but are not limited to: Terminal fees, NAVCAN fees, storage fees and CBSA Special Service fees. </t>
  </si>
  <si>
    <t xml:space="preserve">• Recover freight from the destination airport in Canada to Purolator’s bonded warehouse facility. </t>
  </si>
  <si>
    <t xml:space="preserve">• Update CBSA systems with “Arrival Notice” </t>
  </si>
  <si>
    <t xml:space="preserve">• Report shipments to CBSA </t>
  </si>
  <si>
    <t xml:space="preserve">• Request Customs release under appropriate program(s). </t>
  </si>
  <si>
    <t xml:space="preserve">• Perform all required processing scanning and inspection support services. </t>
  </si>
  <si>
    <t xml:space="preserve">• Locate shipments that do not have a released status and isolate for inspection </t>
  </si>
  <si>
    <t xml:space="preserve">• Sort released shipment Courier or LTL based on requirements into delivery network </t>
  </si>
  <si>
    <t xml:space="preserve">• Reconcile the pieces that are cleared and the pieces that are not cleared </t>
  </si>
  <si>
    <t xml:space="preserve">• Prepare and manage documentation for items designated for destruction </t>
  </si>
  <si>
    <t xml:space="preserve">• Coordinate certified destruction of items designated for destruction </t>
  </si>
  <si>
    <t xml:space="preserve">• Prepare and manage items that will be surrendered to the crown (Abandoned goods) </t>
  </si>
  <si>
    <t xml:space="preserve">• Dispose of abandoned goods as per CBSA instructions. </t>
  </si>
  <si>
    <t>• Provide customer service to UBI SmartParcel for any inquiry relating the tasks performed under this SOW.</t>
  </si>
  <si>
    <t>STATEMENT OF WORK</t>
  </si>
  <si>
    <r>
      <t xml:space="preserve">Courier Accessorial Fees </t>
    </r>
    <r>
      <rPr>
        <b/>
        <sz val="16"/>
        <rFont val="Calibri"/>
        <family val="2"/>
      </rPr>
      <t>&amp; Surcharges Schedule</t>
    </r>
  </si>
  <si>
    <t>All rates are in Canadian Dollars, unless otherwise noted.</t>
  </si>
  <si>
    <t>Accessorial</t>
  </si>
  <si>
    <t>Unit</t>
  </si>
  <si>
    <t>Description</t>
  </si>
  <si>
    <t>Saturday Delivery</t>
  </si>
  <si>
    <t>Per Shipment</t>
  </si>
  <si>
    <t xml:space="preserve">Saturday pickups and deliveries are available to and within Canada.  For shipments picked up on a Friday, we provide guaranteed delivery by end of day Saturday.  </t>
  </si>
  <si>
    <t>Evening Delivery</t>
  </si>
  <si>
    <t>When you need next business day delivery, but your recipient won’t be home during the daytime, choose Purolator Evening service. Delivery to select destinations in Canada between 5:30 p.m. and 9 p.m.</t>
  </si>
  <si>
    <t>9:00 AM Delivery</t>
  </si>
  <si>
    <t>When you need early morning, next business day delivery, choose Purolator 9AM service. Delivery to
select destinations in Canada by 9 a.m.</t>
  </si>
  <si>
    <t>10:30 AM Delivery</t>
  </si>
  <si>
    <t>If mid-morning delivery the next business day makes the most sense for you, choose Purolator Express 10:30AM service.  Delivery to select destinations in Canada by 10:30a.m.</t>
  </si>
  <si>
    <t>Noon Delivery</t>
  </si>
  <si>
    <t>If your shipment needs to arrive by noon , choose Purolator Noon service. Delivery to select destinations in Canada by noon / 12PM.</t>
  </si>
  <si>
    <t>Redirect</t>
  </si>
  <si>
    <t>An additional charge will be applied to any Shipment requiring a change of delivery
address while in transit, requested by either the Shipper or the Receiver (if permitted*),
with the requester having to pay the additional charge. This additional charge applies to
both Courier and Freight Shipments.</t>
  </si>
  <si>
    <t>Redelivery</t>
  </si>
  <si>
    <t>An additional charge will be applied to any shipment that is required to be redelivered where Purolator, through no fault of its own, was unable to complete delivery on the first attempt. This charge will be applied for each subsequent delivery attempt by Purolator. This additional charge applies to both Courier and Freight Shipments.</t>
  </si>
  <si>
    <t>Hold For Pick Up</t>
  </si>
  <si>
    <t>Included</t>
  </si>
  <si>
    <t>Customers can request that a shipment be held at one of our delivery depots for in-person pickup at no charge, instead of having the shipment delivered to the address indicated on the bill of lading.</t>
  </si>
  <si>
    <t>Address Correction (Change)</t>
  </si>
  <si>
    <t>Per Piece</t>
  </si>
  <si>
    <t>An additional charge for addresses that are incomplete or not legible.</t>
  </si>
  <si>
    <t>Beyond Origin / Beyond Destination</t>
  </si>
  <si>
    <r>
      <t>Please see</t>
    </r>
    <r>
      <rPr>
        <b/>
        <sz val="11"/>
        <rFont val="Calibri"/>
        <family val="2"/>
        <scheme val="minor"/>
      </rPr>
      <t xml:space="preserve"> Appendix A</t>
    </r>
  </si>
  <si>
    <t>Variable</t>
  </si>
  <si>
    <t>An additional charge per shipment will be applied where the origin or destination point is deemed by Purolator to be remote or is not serviced directly by Purolator.</t>
  </si>
  <si>
    <t>Cancellation of Pickups</t>
  </si>
  <si>
    <t>Per Occurrence</t>
  </si>
  <si>
    <t>When you give Purolator less than 24 hours of notice to cancel a previously scheduled pickup, a fee will be charged.</t>
  </si>
  <si>
    <t>Chain of Signature</t>
  </si>
  <si>
    <t>Our Chain of Signature (COS) service provides secure transportation of certain controlled drugs and firearms within Canada that require multiple signatures throughout the transportation route. Only authorized customers may send COS shipments. If you ship high volumes of COS shipments, we can provide automated solutions to streamline your shipping process. For added convenience, special COS thermal labels are available through our Purolator E-Ship® Solutions.</t>
  </si>
  <si>
    <t xml:space="preserve">Collect </t>
  </si>
  <si>
    <t>An additional charge will be applied when the receiver is selected to pay the shipping charges.</t>
  </si>
  <si>
    <t>Credit Card Retrieval</t>
  </si>
  <si>
    <t>Per Transaction</t>
  </si>
  <si>
    <t>Purolator will provide backup for credit card transactions for six months from the payment date free of charge. After six months, a fee will apply.</t>
  </si>
  <si>
    <t xml:space="preserve">Customs Brokerage </t>
  </si>
  <si>
    <t>For a fee, Purolator will work with our customs broker to clear your shipments across the border.  Please see our separate customs fee schedule.</t>
  </si>
  <si>
    <t xml:space="preserve">Customs Classification Services </t>
  </si>
  <si>
    <t>Per Stock Keeping Unit</t>
  </si>
  <si>
    <t>For a fee, Purolator will perform work to determine the Canadian / U.S. 10-digit classification for commodities our customers would like to import or export.  Please see our separate tariff classification services fee schedule.</t>
  </si>
  <si>
    <t>Dangerous Goods - Fully Regulated</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</si>
  <si>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Fully Regulated are for shipments with contents which contain highly restricted and dangerous goods - ex. corrosive acids, radioactive material.</t>
  </si>
  <si>
    <t>Dangerous Goods - UN3373</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</si>
  <si>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UN3373 are for shipments with contents which contain biological specimens ex. blood.</t>
  </si>
  <si>
    <t>Dangerous Goods - UN1845</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</si>
  <si>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UN1845 are for shipments with contents which contain Dry Ice.</t>
  </si>
  <si>
    <t>Dangerous Goods - &lt;500KG</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</si>
  <si>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&lt;500KG are for shipments with contents which can carry a maximum of 500kg of these materials on a vehicle - ex. Paint.</t>
  </si>
  <si>
    <t>Dangerous Goods - Limited Quantity</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</si>
  <si>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Limited Quantity are for shipments with contents which have a limitation on package quantity and inner container quantity.</t>
  </si>
  <si>
    <t>Declared Value Surcharge</t>
  </si>
  <si>
    <t>For a declared value of a set amount (default value of CAD$100), a surcharge of 4.5% of the amount of the declared value will be applied to the shipment.</t>
  </si>
  <si>
    <t>No declared value surcharge is applied to shipments with a declared value (for Purolator liability purposes) of up to CAD$100. Customers must expressly declare a value for the shipment on the bill of lading in order to be entitled to submit a claim for the declared value of a shipment. If the shipper declares a value for Purolator liability purposes over CAD$100 (to a maximum of CAD$5,000), a surcharge of 4.5% of the amount of the declared value will be applied to the cost of the shipment.</t>
  </si>
  <si>
    <t>Document Copies</t>
  </si>
  <si>
    <t>Per Document</t>
  </si>
  <si>
    <t>An additional charge will be applied where the shipper or receiver requests an extra copy of a paper document or a replacement copy of an electronic document relating to a specific shipment. Certain document copies are available free of charge online at purolator.com.</t>
  </si>
  <si>
    <t>Information Technology Setup Fee</t>
  </si>
  <si>
    <t>When a new customer is onboarded for the first time, Purolator will evaluate the amount of information technology work needed and a one-time setup fee may be levied.</t>
  </si>
  <si>
    <t>Labeling</t>
  </si>
  <si>
    <t>Per Carton</t>
  </si>
  <si>
    <t>Purolator will apply shipping labels to cartons at a Purolator location.</t>
  </si>
  <si>
    <t xml:space="preserve">Manual Entry of Shipping Data </t>
  </si>
  <si>
    <t>A charge will be applied to shipments where the shipping data is manually typed into a system.</t>
  </si>
  <si>
    <t>Missing / Invalid Account Number</t>
  </si>
  <si>
    <t>An additional charge will be applied if no account number or an incorrect account number appears on the bill of lading prepared by the shipper.</t>
  </si>
  <si>
    <t>Multipiece®</t>
  </si>
  <si>
    <t>An additional charge will apply when a shipment consists of five or more pieces. The surcharge is calculated as follows: (Number of pieces in shipment – 4) x (3%) x (applicable service rate), up to a maximum of 200%. For example, (5 – 4) x 3% x $14.05 = $0.42.</t>
  </si>
  <si>
    <t>Re-billing / Re-invoicing</t>
  </si>
  <si>
    <t>$3.30 per shipment,
with $17.00 minimum</t>
  </si>
  <si>
    <t>An additional charge will be applied where a customer requests a change to an invoice, or where Purolator is required to issue an invoice to a customer or amend an invoice to correct or reverse a charge, due to the customer’s actions, including where the customer has incorrectly represented information on an electronic manifest or bill of lading, or has re-used a bill of lading or has used a voided one.</t>
  </si>
  <si>
    <t>Residential Delivery / Low Density Delivery</t>
  </si>
  <si>
    <t>An additional charge will be applied where the destination point is deemed by Purolator to be located in an area that is primarily residential or is of a low business (commercial) density. This charge does not apply in respect of Purolator Express® Evening or Purolator Ground® Evening shipments.</t>
  </si>
  <si>
    <t>Returns — Destruction of Hazardous Materials</t>
  </si>
  <si>
    <t>This is the fee for the destruction of each piece's contents which contain hazardous materials.</t>
  </si>
  <si>
    <t>Returns — Destruction with Certification</t>
  </si>
  <si>
    <t>This is the fee for the destruction of each piece's contents.  A third party organization will provide a certificate of the destruction for the customer.</t>
  </si>
  <si>
    <t>Returns — Destruction without Certification</t>
  </si>
  <si>
    <t>This is the fee for the destruction of each piece's contents. Hazardous materials will be subject to additional charges.</t>
  </si>
  <si>
    <t>Returns — Documentation Fee</t>
  </si>
  <si>
    <t>This is the fee for the generation of documents associated with returns being shipped back to the U.S.</t>
  </si>
  <si>
    <t>Returns — Processing</t>
  </si>
  <si>
    <t>Per Shipment / Box</t>
  </si>
  <si>
    <r>
      <t xml:space="preserve">Up to five items per shipment/box. Additional items 50 cents per item. For a list of the services provided for this fee, please see </t>
    </r>
    <r>
      <rPr>
        <b/>
        <sz val="11"/>
        <rFont val="Calibri"/>
        <family val="2"/>
        <scheme val="minor"/>
      </rPr>
      <t>Appendix B</t>
    </r>
    <r>
      <rPr>
        <sz val="11"/>
        <rFont val="Calibri"/>
        <family val="2"/>
        <scheme val="minor"/>
      </rPr>
      <t>.</t>
    </r>
  </si>
  <si>
    <t>Returns — Storage of 0 to 2 Weeks</t>
  </si>
  <si>
    <t>Per Pallet Per Week</t>
  </si>
  <si>
    <t>For storage of returned merchandise in our warehouse.</t>
  </si>
  <si>
    <t>Returns — Storage of 3 to 4 Weeks</t>
  </si>
  <si>
    <t>Returns — Storage of Longer Than 4 Weeks</t>
  </si>
  <si>
    <t>Signature Not Required</t>
  </si>
  <si>
    <t>Per Delivery</t>
  </si>
  <si>
    <t>We offer Signature Not Required (SNR) services within Canada that authorize deliveries without a signature from the receiver. SNR service can also be arranged by the originator of the shipment: Origin Signature Not Required (O-SNR). This prearranged agreement with either the shipper or the receiver offers you and your customers added convenience and flexibility. We offer a Single Shipment Use form to make it easy for you to authorize a one-time SNR delivery and a Multiple Shipment Use form to authorize all shipments to be delivered without a signature, whether you’re the sender or the receiver. Visit purolator.com to download these forms.</t>
  </si>
  <si>
    <t>Signature Required (Residential)</t>
  </si>
  <si>
    <t>We offer a “Signature Required” option for shipments destined for delivery in a residential area. If you require a signed proof of delivery, and your shipment is prepared using our Purolator E-Ship® Solutions, you must select that the shipment requires a signature. If you do not make this selection, the shipment will default to the O-SNR (Origin Signature Not Required) service. When the shipment is prepared using a manual bill of lading, the shipment will travel as a shipment requiring a signature and will be subject to the Residential Area surcharge, not the Signature Required (Residential) service. Note: If the receiver has elected the SNR (Signature Not Required) service, the SNR service will override a shipper’s request for a signature.</t>
  </si>
  <si>
    <t>Special Handling - Flat Package</t>
  </si>
  <si>
    <t>When customers send shipments that are unsuitable for our conveyor systems, we need to manually handle these items using specialized equipment. Special Handling type Flat Package are for shipments whose longest side &gt; 18" (45.72 cm) with height &lt;= 2" (5.08 cm).</t>
  </si>
  <si>
    <t>Special Handling - Additional Handling</t>
  </si>
  <si>
    <t>When customers send shipments that are unsuitable for our conveyor systems, we need to manually handle these items using specialized equipment. Special Handling type Additional Handling are for shipments contents contain high risk contents (ex. Liquirds, Ball Bearings, etc.) or unboxed, pails, crates, etc.</t>
  </si>
  <si>
    <t>Special Handling - Residential Area Heavyweight</t>
  </si>
  <si>
    <t>When customers send shipments that are unsuitable for our conveyor systems, we need to manually handle these items using specialized equipment. Special Handling type Residential Area Heavyweight are for Residential Delivery / Low Density Delivery shipments with weight &gt; 70 lbs. &amp; &lt;= 150 lbs.</t>
  </si>
  <si>
    <t>Special Handling - Oversized</t>
  </si>
  <si>
    <t>When customers send shipments that are unsuitable for our conveyor systems, we need to manually handle these items using specialized equipment. Special Handling type Oversized are for shipments with weight &gt; 70 lbs. (31.75 kg) &amp; &lt;= 150 lbs (68.04 kg) or Longest side &gt;48" (121.92 cm) &amp; &lt;= 108" (274.32 cm)</t>
  </si>
  <si>
    <t>Special Handling - Large Package</t>
  </si>
  <si>
    <t>When customers send shipments that are unsuitable for our conveyor systems, we need to manually handle these items using specialized equipment. Special Handling type Large Package are for shipments with girth &gt; 130" (330.2 cm) &amp; &lt;= 165" (419.10 cm)</t>
  </si>
  <si>
    <t>Special Handling - Over Maximum Limit</t>
  </si>
  <si>
    <t>When customers send shipments that are unsuitable for our conveyor systems, we need to manually handle these items using specialized equipment. Special Handling type Over Maximum Limit are for shipments with weight &gt; 150 lbs. (68.04 kg), girth &gt; 165" (419.10 cm) or longest side &gt; 108" (274.32 cm)</t>
  </si>
  <si>
    <t>Third Party Billing</t>
  </si>
  <si>
    <t>No additional charge will be applied when a third party is selected to pay the shipping charges.</t>
  </si>
  <si>
    <t>Cube Factor</t>
  </si>
  <si>
    <t>Default</t>
  </si>
  <si>
    <t>Air</t>
  </si>
  <si>
    <t>12.4 pounds per cubic foot</t>
  </si>
  <si>
    <t>Ground</t>
  </si>
  <si>
    <t>Fuel Surcharge</t>
  </si>
  <si>
    <t>Percentage</t>
  </si>
  <si>
    <t xml:space="preserve">Reference the latest schedule posted on our Website: </t>
  </si>
  <si>
    <t>http://www.purolatorinternational.com/fuel-surcharge</t>
  </si>
  <si>
    <t>Appendix A — Beyond Points</t>
  </si>
  <si>
    <t>Appendix B — Returns Processing</t>
  </si>
  <si>
    <t>Returns processing price of $5.00 per piece includes all the following activities:</t>
  </si>
  <si>
    <t>     * Receipt of returned shipment at Purolator Logistics’ facility</t>
  </si>
  <si>
    <t>     * In-terminal possession scan of tracking number for all pieces</t>
  </si>
  <si>
    <t>     * Log in for each piece that includes:</t>
  </si>
  <si>
    <t>• Date</t>
  </si>
  <si>
    <t>• Customer name</t>
  </si>
  <si>
    <t>• Return Merchandise Authorization (RMA) number</t>
  </si>
  <si>
    <t>• Total number of pieces</t>
  </si>
  <si>
    <t>• Tracking number</t>
  </si>
  <si>
    <t>     * Log in sheet sent to customer</t>
  </si>
  <si>
    <t>     * Confirmation or customs documentation sent back to Purolator</t>
  </si>
  <si>
    <t>     * Match of confirmation / customs documents to the box</t>
  </si>
  <si>
    <t xml:space="preserve">     * Each piece is then scanned into a consolidation list </t>
  </si>
  <si>
    <t>     * Each piece is placed on a pallet or over-packed into a consolidation box (pallet or over-pack box charges may apply if provided by Purolator)</t>
  </si>
  <si>
    <t>WEIGHT</t>
  </si>
  <si>
    <t>Rate</t>
  </si>
  <si>
    <t>Description of Service</t>
  </si>
  <si>
    <t>Recovery and Clearance Costs</t>
  </si>
  <si>
    <r>
      <rPr>
        <b/>
        <sz val="11"/>
        <rFont val="Arial"/>
        <family val="2"/>
      </rPr>
      <t>Cost plus 5%</t>
    </r>
    <r>
      <rPr>
        <sz val="11"/>
        <rFont val="Arial"/>
        <family val="2"/>
      </rPr>
      <t xml:space="preserve"> approx CAD100 upto 3000 Kgs declared chargeable weight = CAD105 approx @ MAWB level</t>
    </r>
  </si>
  <si>
    <t>Purolator Courier Ground Rates</t>
  </si>
  <si>
    <t>Origins:</t>
  </si>
  <si>
    <t>YYZ or YVR</t>
  </si>
  <si>
    <t>UP TO (KG)</t>
  </si>
  <si>
    <t>RATE CODES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</si>
</sst>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164" formatCode="_-&quot;$&quot;* #,##0.00_-;\-&quot;$&quot;* #,##0.00_-;_-&quot;$&quot;* &quot;-&quot;??_-;_-@_-"/>
    <numFmt numFmtId="165" formatCode="_(&quot;$&quot;* #,##0.000_);_(&quot;$&quot;* \(#,##0.000\);_(&quot;$&quot;* &quot;-&quot;??_);_(@_)"/>
    <numFmt numFmtId="166" formatCode="&quot;$&quot;#,##0.00"/>
  </numFmts>
  <fonts count="27" x14ac:knownFonts="1">
    <font>
      <sz val="11"/>
      <color theme="1"/>
      <name val="Calibri"/>
      <family val="2"/>
      <scheme val="minor"/>
    </font>
    <font>
      <b/>
      <sz val="11"/>
      <color theme="1"/>
      <name val="Calibri"/>
      <family val="2"/>
      <scheme val="minor"/>
    </font>
    <font>
      <b/>
      <sz val="12"/>
      <color indexed="8"/>
      <name val="Arial"/>
      <family val="2"/>
    </font>
    <font>
      <b/>
      <i/>
      <sz val="12"/>
      <color indexed="8"/>
      <name val="Arial"/>
      <family val="2"/>
    </font>
    <font>
      <sz val="12"/>
      <color indexed="8"/>
      <name val="Arial"/>
      <family val="2"/>
    </font>
    <font>
      <sz val="11"/>
      <color indexed="8"/>
      <name val="Arial"/>
      <family val="2"/>
    </font>
    <font>
      <sz val="11"/>
      <name val="Arial"/>
      <family val="2"/>
    </font>
    <font>
      <sz val="11"/>
      <color rgb="FFFF0000"/>
      <name val="Arial"/>
      <family val="2"/>
    </font>
    <font>
      <sz val="12"/>
      <name val="Arial"/>
      <family val="2"/>
    </font>
    <font>
      <sz val="11"/>
      <color theme="1"/>
      <name val="Calibri"/>
      <family val="2"/>
      <scheme val="minor"/>
    </font>
    <font>
      <sz val="11"/>
      <color rgb="FF000000"/>
      <name val="Calibri"/>
      <family val="2"/>
      <scheme val="minor"/>
    </font>
    <font>
      <sz val="11"/>
      <name val="Calibri"/>
      <family val="2"/>
      <scheme val="minor"/>
    </font>
    <font>
      <b/>
      <sz val="11"/>
      <name val="Calibri"/>
      <family val="2"/>
      <scheme val="minor"/>
    </font>
    <font>
      <b/>
      <sz val="16"/>
      <name val="Calibri"/>
      <family val="2"/>
      <scheme val="minor"/>
    </font>
    <font>
      <b/>
      <sz val="16"/>
      <name val="Calibri"/>
      <family val="2"/>
    </font>
    <font>
      <b/>
      <sz val="10"/>
      <name val="Arial"/>
      <family val="2"/>
    </font>
    <font>
      <b/>
      <sz val="11"/>
      <color indexed="8"/>
      <name val="Calibri"/>
      <family val="2"/>
      <scheme val="minor"/>
    </font>
    <font>
      <u/>
      <sz val="10"/>
      <color indexed="12"/>
      <name val="Arial"/>
      <family val="2"/>
    </font>
    <font>
      <u/>
      <sz val="11"/>
      <color indexed="12"/>
      <name val="Calibri"/>
      <family val="2"/>
      <scheme val="minor"/>
    </font>
    <font>
      <b/>
      <sz val="16"/>
      <color theme="1"/>
      <name val="Calibri"/>
      <family val="2"/>
      <scheme val="minor"/>
    </font>
    <font>
      <sz val="10"/>
      <name val="Arial"/>
      <family val="2"/>
    </font>
    <font>
      <b/>
      <sz val="11"/>
      <name val="Arial"/>
      <family val="2"/>
    </font>
    <font>
      <b/>
      <u val="singleAccounting"/>
      <sz val="11"/>
      <color theme="1"/>
      <name val="Calibri"/>
      <family val="2"/>
      <scheme val="minor"/>
    </font>
    <font>
      <sz val="10"/>
      <color theme="0"/>
      <name val="Calibri"/>
      <family val="2"/>
      <scheme val="minor"/>
    </font>
    <font>
      <sz val="10"/>
      <name val="Calibri"/>
      <family val="2"/>
      <scheme val="minor"/>
    </font>
    <font>
      <sz val="10"/>
      <color theme="1"/>
      <name val="Calibri"/>
      <family val="2"/>
      <scheme val="minor"/>
    </font>
    <font>
      <b/>
      <sz val="12"/>
      <color theme="0"/>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rgb="FFFFFF00"/>
        <bgColor indexed="64"/>
      </patternFill>
    </fill>
    <fill>
      <patternFill patternType="solid">
        <fgColor rgb="FF001996"/>
        <bgColor indexed="64"/>
      </patternFill>
    </fill>
    <fill>
      <patternFill patternType="solid">
        <fgColor rgb="FF000080"/>
        <bgColor indexed="64"/>
      </patternFill>
    </fill>
    <fill>
      <patternFill patternType="solid">
        <fgColor theme="1"/>
        <bgColor indexed="64"/>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
      <left/>
      <right style="thin">
        <color theme="1"/>
      </right>
      <top style="thin">
        <color theme="1"/>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indexed="64"/>
      </top>
      <bottom style="thin">
        <color indexed="64"/>
      </bottom>
      <diagonal/>
    </border>
    <border>
      <left style="thin">
        <color theme="1"/>
      </left>
      <right/>
      <top style="thin">
        <color indexed="64"/>
      </top>
      <bottom/>
      <diagonal/>
    </border>
    <border>
      <left/>
      <right/>
      <top style="thin">
        <color indexed="64"/>
      </top>
      <bottom/>
      <diagonal/>
    </border>
    <border>
      <left style="thin">
        <color theme="1"/>
      </left>
      <right/>
      <top/>
      <bottom style="thin">
        <color indexed="64"/>
      </bottom>
      <diagonal/>
    </border>
    <border>
      <left/>
      <right/>
      <top/>
      <bottom style="thin">
        <color indexed="64"/>
      </bottom>
      <diagonal/>
    </border>
  </borders>
  <cellStyleXfs count="7">
    <xf numFmtId="0" fontId="0" fillId="0" borderId="0"/>
    <xf numFmtId="164" fontId="9" fillId="0" borderId="0" applyFont="0" applyFill="0" applyBorder="0" applyAlignment="0" applyProtection="0"/>
    <xf numFmtId="0" fontId="9" fillId="0" borderId="0"/>
    <xf numFmtId="44" fontId="9" fillId="0" borderId="0" applyFont="0" applyFill="0" applyBorder="0" applyAlignment="0" applyProtection="0"/>
    <xf numFmtId="44" fontId="9" fillId="0" borderId="0" applyFont="0" applyFill="0" applyBorder="0" applyAlignment="0" applyProtection="0"/>
    <xf numFmtId="0" fontId="17" fillId="0" borderId="0" applyNumberFormat="0" applyFill="0" applyBorder="0" applyAlignment="0" applyProtection="0">
      <alignment vertical="top"/>
      <protection locked="0"/>
    </xf>
    <xf numFmtId="0" fontId="20" fillId="0" borderId="0"/>
  </cellStyleXfs>
  <cellXfs count="10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2"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44" fontId="5" fillId="2" borderId="1" xfId="0"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44" fontId="6" fillId="0" borderId="1" xfId="0" applyNumberFormat="1" applyFont="1" applyFill="1" applyBorder="1" applyAlignment="1">
      <alignment horizontal="center" vertical="center" wrapText="1"/>
    </xf>
    <xf numFmtId="0" fontId="6" fillId="0" borderId="1" xfId="0" applyFont="1" applyFill="1" applyBorder="1" applyAlignment="1">
      <alignment horizontal="left" vertical="center" wrapText="1"/>
    </xf>
    <xf numFmtId="44" fontId="6" fillId="2" borderId="1" xfId="0" applyNumberFormat="1" applyFont="1" applyFill="1" applyBorder="1" applyAlignment="1">
      <alignment horizontal="center" vertical="center" wrapText="1"/>
    </xf>
    <xf numFmtId="0" fontId="7" fillId="0" borderId="1" xfId="0" applyFont="1" applyFill="1" applyBorder="1" applyAlignment="1">
      <alignment horizontal="left" vertical="center" wrapText="1"/>
    </xf>
    <xf numFmtId="165" fontId="6" fillId="2" borderId="1" xfId="0" applyNumberFormat="1" applyFont="1" applyFill="1" applyBorder="1" applyAlignment="1">
      <alignment horizontal="center" vertical="center" wrapText="1"/>
    </xf>
    <xf numFmtId="165" fontId="6" fillId="0" borderId="1" xfId="0" applyNumberFormat="1" applyFont="1" applyFill="1" applyBorder="1" applyAlignment="1">
      <alignment horizontal="center" vertical="center" wrapText="1"/>
    </xf>
    <xf numFmtId="0" fontId="8" fillId="0" borderId="1" xfId="0" applyFont="1" applyFill="1" applyBorder="1" applyAlignment="1">
      <alignment horizontal="left" vertical="center" wrapText="1"/>
    </xf>
    <xf numFmtId="0" fontId="0" fillId="0" borderId="0" xfId="0" applyFill="1"/>
    <xf numFmtId="164" fontId="0" fillId="0" borderId="0" xfId="1" applyFont="1"/>
    <xf numFmtId="164" fontId="0" fillId="0" borderId="0" xfId="1" applyFont="1" applyFill="1"/>
    <xf numFmtId="0" fontId="10"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0" fontId="1" fillId="0" borderId="0" xfId="0" applyFont="1" applyAlignment="1">
      <alignment wrapText="1"/>
    </xf>
    <xf numFmtId="0" fontId="11" fillId="0" borderId="0" xfId="2" applyFont="1" applyAlignment="1" applyProtection="1">
      <alignment vertical="center"/>
    </xf>
    <xf numFmtId="166" fontId="12" fillId="0" borderId="0" xfId="2" applyNumberFormat="1" applyFont="1" applyFill="1" applyBorder="1" applyAlignment="1" applyProtection="1">
      <alignment horizontal="right" vertical="center"/>
    </xf>
    <xf numFmtId="166" fontId="11" fillId="0" borderId="0" xfId="2" applyNumberFormat="1" applyFont="1" applyFill="1" applyAlignment="1" applyProtection="1">
      <alignment vertical="center"/>
    </xf>
    <xf numFmtId="0" fontId="11" fillId="0" borderId="0" xfId="2" applyFont="1" applyFill="1" applyAlignment="1" applyProtection="1">
      <alignment vertical="center"/>
    </xf>
    <xf numFmtId="0" fontId="9" fillId="0" borderId="0" xfId="2" applyFill="1" applyAlignment="1" applyProtection="1">
      <alignment vertical="center"/>
    </xf>
    <xf numFmtId="0" fontId="15" fillId="0" borderId="0" xfId="0" applyFont="1" applyFill="1" applyBorder="1" applyAlignment="1" applyProtection="1">
      <alignment vertical="center"/>
    </xf>
    <xf numFmtId="2" fontId="15" fillId="3" borderId="0" xfId="0" applyNumberFormat="1" applyFont="1" applyFill="1" applyBorder="1" applyAlignment="1" applyProtection="1">
      <alignment horizontal="center" vertical="center"/>
    </xf>
    <xf numFmtId="2" fontId="15" fillId="3" borderId="0" xfId="0" applyNumberFormat="1" applyFont="1" applyFill="1" applyBorder="1" applyAlignment="1" applyProtection="1">
      <alignment horizontal="right" vertical="center"/>
    </xf>
    <xf numFmtId="2" fontId="15" fillId="0" borderId="0" xfId="0" applyNumberFormat="1" applyFont="1" applyFill="1" applyBorder="1" applyAlignment="1" applyProtection="1">
      <alignment horizontal="center" vertical="center"/>
    </xf>
    <xf numFmtId="0" fontId="12" fillId="0" borderId="0" xfId="2" quotePrefix="1" applyFont="1" applyFill="1" applyAlignment="1" applyProtection="1">
      <alignment vertical="center"/>
      <protection hidden="1"/>
    </xf>
    <xf numFmtId="0" fontId="12" fillId="3" borderId="0" xfId="2" applyFont="1" applyFill="1" applyAlignment="1" applyProtection="1">
      <alignment vertical="center"/>
    </xf>
    <xf numFmtId="0" fontId="9" fillId="3" borderId="0" xfId="2" applyFont="1" applyFill="1" applyAlignment="1" applyProtection="1">
      <alignment vertical="center"/>
    </xf>
    <xf numFmtId="0" fontId="9" fillId="0" borderId="1" xfId="2" applyFont="1" applyFill="1" applyBorder="1" applyAlignment="1" applyProtection="1">
      <alignment horizontal="right" vertical="center" wrapText="1"/>
    </xf>
    <xf numFmtId="166" fontId="10" fillId="6" borderId="1" xfId="3" applyNumberFormat="1" applyFont="1" applyFill="1" applyBorder="1" applyAlignment="1" applyProtection="1">
      <alignment horizontal="right" vertical="center" wrapText="1"/>
    </xf>
    <xf numFmtId="166" fontId="9" fillId="0" borderId="1" xfId="2" applyNumberFormat="1" applyFont="1" applyFill="1" applyBorder="1" applyAlignment="1" applyProtection="1">
      <alignment horizontal="right" vertical="center" wrapText="1"/>
      <protection locked="0"/>
    </xf>
    <xf numFmtId="0" fontId="11" fillId="0" borderId="1" xfId="2" applyFont="1" applyFill="1" applyBorder="1" applyAlignment="1" applyProtection="1">
      <alignment horizontal="right" vertical="center" wrapText="1"/>
      <protection locked="0"/>
    </xf>
    <xf numFmtId="0" fontId="11" fillId="0" borderId="1" xfId="2" applyFont="1" applyFill="1" applyBorder="1" applyAlignment="1" applyProtection="1">
      <alignment horizontal="right" vertical="center" wrapText="1"/>
    </xf>
    <xf numFmtId="0" fontId="11" fillId="3" borderId="1" xfId="2" applyFont="1" applyFill="1" applyBorder="1" applyAlignment="1" applyProtection="1">
      <alignment horizontal="right" vertical="center" wrapText="1"/>
      <protection locked="0"/>
    </xf>
    <xf numFmtId="0" fontId="9" fillId="0" borderId="0" xfId="2" applyFont="1" applyAlignment="1" applyProtection="1">
      <alignment vertical="center"/>
    </xf>
    <xf numFmtId="0" fontId="16" fillId="4" borderId="7" xfId="2" applyFont="1" applyFill="1" applyBorder="1" applyAlignment="1" applyProtection="1">
      <alignment horizontal="justify" vertical="center" wrapText="1"/>
    </xf>
    <xf numFmtId="0" fontId="16" fillId="4" borderId="8" xfId="2" applyFont="1" applyFill="1" applyBorder="1" applyAlignment="1" applyProtection="1">
      <alignment horizontal="right" vertical="center" wrapText="1"/>
    </xf>
    <xf numFmtId="0" fontId="11" fillId="0" borderId="7" xfId="2" applyFont="1" applyFill="1" applyBorder="1" applyAlignment="1" applyProtection="1">
      <alignment vertical="center"/>
    </xf>
    <xf numFmtId="0" fontId="11" fillId="0" borderId="8" xfId="2" quotePrefix="1" applyFont="1" applyBorder="1" applyAlignment="1" applyProtection="1">
      <alignment horizontal="right" vertical="center"/>
    </xf>
    <xf numFmtId="0" fontId="16" fillId="4" borderId="2" xfId="2" applyFont="1" applyFill="1" applyBorder="1" applyAlignment="1" applyProtection="1">
      <alignment horizontal="right" vertical="center" wrapText="1"/>
    </xf>
    <xf numFmtId="0" fontId="12" fillId="0" borderId="0" xfId="2" applyFont="1" applyBorder="1" applyAlignment="1" applyProtection="1">
      <alignment vertical="center"/>
    </xf>
    <xf numFmtId="0" fontId="11" fillId="0" borderId="7" xfId="2" applyFont="1" applyBorder="1" applyAlignment="1" applyProtection="1">
      <alignment vertical="center"/>
    </xf>
    <xf numFmtId="0" fontId="11" fillId="0" borderId="3" xfId="2" applyFont="1" applyBorder="1" applyAlignment="1" applyProtection="1">
      <alignment vertical="center"/>
    </xf>
    <xf numFmtId="0" fontId="18" fillId="0" borderId="13" xfId="5" quotePrefix="1" applyFont="1" applyFill="1" applyBorder="1" applyAlignment="1" applyProtection="1">
      <alignment horizontal="center" vertical="center"/>
    </xf>
    <xf numFmtId="0" fontId="9" fillId="0" borderId="13" xfId="2" applyFont="1" applyBorder="1" applyAlignment="1" applyProtection="1">
      <alignment vertical="center"/>
    </xf>
    <xf numFmtId="0" fontId="9" fillId="0" borderId="6" xfId="2" applyFont="1" applyBorder="1" applyAlignment="1" applyProtection="1">
      <alignment vertical="center"/>
    </xf>
    <xf numFmtId="0" fontId="9" fillId="0" borderId="0" xfId="2" applyAlignment="1" applyProtection="1">
      <alignment vertical="center"/>
    </xf>
    <xf numFmtId="0" fontId="9" fillId="0" borderId="0" xfId="2" applyFont="1" applyAlignment="1" applyProtection="1">
      <alignment vertical="center" wrapText="1"/>
    </xf>
    <xf numFmtId="166" fontId="12" fillId="0" borderId="0" xfId="4" applyNumberFormat="1" applyFont="1" applyFill="1" applyBorder="1" applyAlignment="1" applyProtection="1">
      <alignment horizontal="right" vertical="center" wrapText="1"/>
    </xf>
    <xf numFmtId="0" fontId="9" fillId="0" borderId="0" xfId="2" applyFont="1" applyFill="1" applyAlignment="1" applyProtection="1">
      <alignment vertical="center"/>
    </xf>
    <xf numFmtId="0" fontId="9" fillId="8" borderId="0" xfId="2" applyFill="1" applyAlignment="1" applyProtection="1">
      <alignment vertical="center"/>
    </xf>
    <xf numFmtId="0" fontId="18" fillId="0" borderId="12" xfId="5" quotePrefix="1" applyFont="1" applyFill="1" applyBorder="1" applyAlignment="1" applyProtection="1">
      <alignment horizontal="center" vertical="center"/>
    </xf>
    <xf numFmtId="0" fontId="13" fillId="0" borderId="0" xfId="2" applyFont="1" applyFill="1" applyBorder="1" applyAlignment="1" applyProtection="1">
      <alignment horizontal="center" vertical="center"/>
    </xf>
    <xf numFmtId="0" fontId="13" fillId="0" borderId="0" xfId="2" applyFont="1" applyFill="1" applyBorder="1" applyAlignment="1" applyProtection="1">
      <alignment vertical="center"/>
    </xf>
    <xf numFmtId="0" fontId="16" fillId="4" borderId="1" xfId="2" applyFont="1" applyFill="1" applyBorder="1" applyAlignment="1" applyProtection="1">
      <alignment horizontal="center" vertical="center" wrapText="1"/>
    </xf>
    <xf numFmtId="0" fontId="16" fillId="5" borderId="1" xfId="2" applyFont="1" applyFill="1" applyBorder="1" applyAlignment="1" applyProtection="1">
      <alignment horizontal="center" vertical="center" wrapText="1"/>
    </xf>
    <xf numFmtId="49" fontId="11" fillId="0" borderId="1" xfId="4" applyNumberFormat="1" applyFont="1" applyFill="1" applyBorder="1" applyAlignment="1" applyProtection="1">
      <alignment horizontal="right" vertical="center" wrapText="1"/>
      <protection locked="0"/>
    </xf>
    <xf numFmtId="166" fontId="11" fillId="3" borderId="1" xfId="4" applyNumberFormat="1" applyFont="1" applyFill="1" applyBorder="1" applyAlignment="1" applyProtection="1">
      <alignment horizontal="right" vertical="center" wrapText="1"/>
      <protection locked="0"/>
    </xf>
    <xf numFmtId="44" fontId="11" fillId="3" borderId="1" xfId="3" applyFont="1" applyFill="1" applyBorder="1" applyAlignment="1" applyProtection="1">
      <alignment horizontal="right" vertical="center" wrapText="1"/>
      <protection locked="0"/>
    </xf>
    <xf numFmtId="18" fontId="11" fillId="0" borderId="1" xfId="2" quotePrefix="1" applyNumberFormat="1" applyFont="1" applyFill="1" applyBorder="1" applyAlignment="1" applyProtection="1">
      <alignment horizontal="right" vertical="center" wrapText="1"/>
    </xf>
    <xf numFmtId="44" fontId="11" fillId="3" borderId="1" xfId="4" applyFont="1" applyFill="1" applyBorder="1" applyAlignment="1" applyProtection="1">
      <alignment horizontal="right" vertical="center" wrapText="1"/>
      <protection locked="0"/>
    </xf>
    <xf numFmtId="44" fontId="11" fillId="0" borderId="1" xfId="4" applyFont="1" applyFill="1" applyBorder="1" applyAlignment="1" applyProtection="1">
      <alignment horizontal="right" vertical="center" wrapText="1"/>
      <protection locked="0"/>
    </xf>
    <xf numFmtId="44" fontId="11" fillId="0" borderId="1" xfId="4" quotePrefix="1" applyFont="1" applyFill="1" applyBorder="1" applyAlignment="1" applyProtection="1">
      <alignment horizontal="right" vertical="center" wrapText="1"/>
      <protection locked="0"/>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xf>
    <xf numFmtId="44" fontId="5" fillId="0" borderId="1" xfId="0" applyNumberFormat="1" applyFont="1" applyFill="1" applyBorder="1" applyAlignment="1">
      <alignment horizontal="center" vertical="center" wrapText="1"/>
    </xf>
    <xf numFmtId="0" fontId="25" fillId="11" borderId="1" xfId="0" applyFont="1" applyFill="1" applyBorder="1" applyAlignment="1">
      <alignment horizontal="center" wrapText="1"/>
    </xf>
    <xf numFmtId="0" fontId="25" fillId="11" borderId="1" xfId="0" applyFont="1" applyFill="1" applyBorder="1"/>
    <xf numFmtId="2" fontId="25" fillId="0" borderId="1" xfId="0" applyNumberFormat="1" applyFont="1" applyBorder="1"/>
    <xf numFmtId="0" fontId="25" fillId="0" borderId="1" xfId="0" applyFont="1" applyBorder="1"/>
    <xf numFmtId="164" fontId="25" fillId="0" borderId="1" xfId="1" applyFont="1" applyBorder="1"/>
    <xf numFmtId="164" fontId="25" fillId="0" borderId="1" xfId="1" applyFont="1" applyFill="1" applyBorder="1"/>
    <xf numFmtId="164" fontId="23" fillId="10" borderId="1" xfId="1" applyFont="1" applyFill="1" applyBorder="1"/>
    <xf numFmtId="0" fontId="13" fillId="0" borderId="0" xfId="2" applyFont="1" applyFill="1" applyBorder="1" applyAlignment="1" applyProtection="1">
      <alignment horizontal="center" vertical="center"/>
    </xf>
    <xf numFmtId="0" fontId="24" fillId="11" borderId="1" xfId="2" quotePrefix="1" applyFont="1" applyFill="1" applyBorder="1" applyAlignment="1" applyProtection="1">
      <alignment horizontal="center" vertical="center"/>
      <protection hidden="1"/>
    </xf>
    <xf numFmtId="0" fontId="23" fillId="9" borderId="1" xfId="0" applyFont="1" applyFill="1" applyBorder="1" applyAlignment="1">
      <alignment horizontal="center" vertical="center"/>
    </xf>
    <xf numFmtId="164" fontId="22" fillId="0" borderId="0" xfId="1" applyFont="1" applyFill="1" applyAlignment="1">
      <alignment horizontal="center" vertical="center"/>
    </xf>
    <xf numFmtId="0" fontId="26" fillId="10" borderId="0" xfId="2" applyFont="1" applyFill="1" applyBorder="1" applyAlignment="1" applyProtection="1">
      <alignment horizontal="center" vertical="center"/>
    </xf>
    <xf numFmtId="0" fontId="11" fillId="0" borderId="1" xfId="2" applyFont="1" applyFill="1" applyBorder="1" applyAlignment="1" applyProtection="1">
      <alignment horizontal="left" vertical="center" wrapText="1"/>
    </xf>
    <xf numFmtId="0" fontId="16" fillId="4" borderId="1" xfId="2" applyFont="1" applyFill="1" applyBorder="1" applyAlignment="1" applyProtection="1">
      <alignment horizontal="center" vertical="center" wrapText="1"/>
    </xf>
    <xf numFmtId="0" fontId="9" fillId="0" borderId="1" xfId="2" applyFont="1" applyFill="1" applyBorder="1" applyAlignment="1" applyProtection="1">
      <alignment horizontal="left" vertical="center" wrapText="1"/>
    </xf>
    <xf numFmtId="0" fontId="9" fillId="0" borderId="1" xfId="2" applyFill="1" applyBorder="1" applyAlignment="1" applyProtection="1">
      <alignment horizontal="left" vertical="center" wrapText="1"/>
    </xf>
    <xf numFmtId="0" fontId="9" fillId="0" borderId="1" xfId="2" applyFont="1" applyFill="1" applyBorder="1" applyAlignment="1" applyProtection="1">
      <alignment vertical="center" wrapText="1"/>
    </xf>
    <xf numFmtId="0" fontId="1" fillId="0" borderId="1" xfId="2" applyFont="1" applyFill="1" applyBorder="1" applyAlignment="1" applyProtection="1">
      <alignment vertical="center" wrapText="1"/>
    </xf>
    <xf numFmtId="0" fontId="1" fillId="0" borderId="1" xfId="2" applyFont="1" applyFill="1" applyBorder="1" applyAlignment="1" applyProtection="1">
      <alignment horizontal="left" vertical="center" wrapText="1"/>
    </xf>
    <xf numFmtId="0" fontId="11" fillId="0" borderId="1" xfId="2" applyFont="1" applyBorder="1" applyAlignment="1" applyProtection="1">
      <alignment vertical="center" wrapText="1"/>
    </xf>
    <xf numFmtId="0" fontId="11" fillId="0" borderId="1" xfId="2" applyFont="1" applyBorder="1" applyAlignment="1" applyProtection="1">
      <alignment horizontal="left" vertical="center" wrapText="1"/>
    </xf>
    <xf numFmtId="0" fontId="11" fillId="0" borderId="1" xfId="2" applyFont="1" applyFill="1" applyBorder="1" applyAlignment="1" applyProtection="1">
      <alignment vertical="center" wrapText="1"/>
    </xf>
    <xf numFmtId="0" fontId="19" fillId="7" borderId="0" xfId="2" applyFont="1" applyFill="1" applyAlignment="1" applyProtection="1">
      <alignment horizontal="center" vertical="center"/>
    </xf>
    <xf numFmtId="0" fontId="9" fillId="0" borderId="0" xfId="2" applyFont="1" applyAlignment="1" applyProtection="1">
      <alignment vertical="center" wrapText="1"/>
    </xf>
    <xf numFmtId="0" fontId="9" fillId="0" borderId="9" xfId="2" applyFont="1" applyFill="1" applyBorder="1" applyAlignment="1" applyProtection="1">
      <alignment horizontal="left" vertical="top" wrapText="1"/>
    </xf>
    <xf numFmtId="0" fontId="9" fillId="0" borderId="4" xfId="2" applyFont="1" applyFill="1" applyBorder="1" applyAlignment="1" applyProtection="1">
      <alignment horizontal="left" vertical="top" wrapText="1"/>
    </xf>
    <xf numFmtId="0" fontId="9" fillId="0" borderId="1" xfId="2" applyFont="1" applyBorder="1" applyAlignment="1" applyProtection="1">
      <alignment horizontal="left" vertical="center" wrapText="1"/>
    </xf>
    <xf numFmtId="0" fontId="11" fillId="0" borderId="10" xfId="2" quotePrefix="1" applyFont="1" applyBorder="1" applyAlignment="1" applyProtection="1">
      <alignment horizontal="left" vertical="center"/>
    </xf>
    <xf numFmtId="0" fontId="11" fillId="0" borderId="11" xfId="2" quotePrefix="1" applyFont="1" applyBorder="1" applyAlignment="1" applyProtection="1">
      <alignment horizontal="left" vertical="center"/>
    </xf>
    <xf numFmtId="0" fontId="11" fillId="0" borderId="5" xfId="2" quotePrefix="1" applyFont="1" applyBorder="1" applyAlignment="1" applyProtection="1">
      <alignment horizontal="left" vertical="center"/>
    </xf>
  </cellXfs>
  <cellStyles count="7">
    <cellStyle name="Currency" xfId="1" builtinId="4"/>
    <cellStyle name="Currency 2" xfId="3"/>
    <cellStyle name="Currency 4 2" xfId="4"/>
    <cellStyle name="Hyperlink" xfId="5" builtinId="8"/>
    <cellStyle name="Normal" xfId="0" builtinId="0"/>
    <cellStyle name="Normal 2 2" xfId="6"/>
    <cellStyle name="Normal 3 2" xfId="2"/>
  </cellStyles>
  <dxfs count="0"/>
  <tableStyles count="0" defaultTableStyle="TableStyleMedium2" defaultPivotStyle="PivotStyleLight16"/>
  <colors>
    <mruColors>
      <color rgb="FF000080"/>
      <color rgb="FF00B0F0"/>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9525</xdr:rowOff>
    </xdr:from>
    <xdr:to>
      <xdr:col>0</xdr:col>
      <xdr:colOff>1672247</xdr:colOff>
      <xdr:row>1</xdr:row>
      <xdr:rowOff>93345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9525"/>
          <a:ext cx="1596047"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9525</xdr:rowOff>
    </xdr:from>
    <xdr:to>
      <xdr:col>2</xdr:col>
      <xdr:colOff>262547</xdr:colOff>
      <xdr:row>1</xdr:row>
      <xdr:rowOff>169545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9525"/>
          <a:ext cx="1596047" cy="350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1238250</xdr:colOff>
      <xdr:row>62</xdr:row>
      <xdr:rowOff>122200</xdr:rowOff>
    </xdr:from>
    <xdr:to>
      <xdr:col>5</xdr:col>
      <xdr:colOff>531751</xdr:colOff>
      <xdr:row>100</xdr:row>
      <xdr:rowOff>161925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47850" y="45461200"/>
          <a:ext cx="9285226" cy="7364450"/>
        </a:xfrm>
        <a:prstGeom prst="rect">
          <a:avLst/>
        </a:prstGeom>
        <a:ln>
          <a:solidFill>
            <a:schemeClr val="tx1"/>
          </a:solidFill>
        </a:ln>
      </xdr:spPr>
    </xdr:pic>
    <xdr:clientData/>
  </xdr:twoCellAnchor>
  <xdr:twoCellAnchor editAs="oneCell">
    <xdr:from>
      <xdr:col>0</xdr:col>
      <xdr:colOff>76200</xdr:colOff>
      <xdr:row>0</xdr:row>
      <xdr:rowOff>9525</xdr:rowOff>
    </xdr:from>
    <xdr:to>
      <xdr:col>0</xdr:col>
      <xdr:colOff>1672247</xdr:colOff>
      <xdr:row>1</xdr:row>
      <xdr:rowOff>17145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704850"/>
          <a:ext cx="1596047" cy="274320"/>
        </a:xfrm>
        <a:prstGeom prst="rect">
          <a:avLst/>
        </a:prstGeom>
      </xdr:spPr>
    </xdr:pic>
    <xdr:clientData/>
  </xdr:twoCellAnchor>
  <xdr:twoCellAnchor editAs="oneCell">
    <xdr:from>
      <xdr:col>4</xdr:col>
      <xdr:colOff>2914650</xdr:colOff>
      <xdr:row>122</xdr:row>
      <xdr:rowOff>38100</xdr:rowOff>
    </xdr:from>
    <xdr:to>
      <xdr:col>5</xdr:col>
      <xdr:colOff>316285</xdr:colOff>
      <xdr:row>123</xdr:row>
      <xdr:rowOff>163885</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706475" y="57054750"/>
          <a:ext cx="316285" cy="3162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purolatorinternational.com/fuel-surchar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defaultRowHeight="15" x14ac:dyDescent="0.25"/>
  <cols>
    <col min="1" max="1" width="137" style="21" customWidth="1"/>
  </cols>
  <sheetData>
    <row r="1" spans="1:1" x14ac:dyDescent="0.25">
      <c r="A1" s="22" t="s">
        <v>62</v>
      </c>
    </row>
    <row r="2" spans="1:1" x14ac:dyDescent="0.25">
      <c r="A2" s="19" t="s">
        <v>38</v>
      </c>
    </row>
    <row r="3" spans="1:1" ht="45" x14ac:dyDescent="0.25">
      <c r="A3" s="19" t="s">
        <v>39</v>
      </c>
    </row>
    <row r="4" spans="1:1" ht="30" x14ac:dyDescent="0.25">
      <c r="A4" s="19" t="s">
        <v>40</v>
      </c>
    </row>
    <row r="5" spans="1:1" x14ac:dyDescent="0.25">
      <c r="A5" s="19"/>
    </row>
    <row r="6" spans="1:1" x14ac:dyDescent="0.25">
      <c r="A6" s="19" t="s">
        <v>41</v>
      </c>
    </row>
    <row r="7" spans="1:1" x14ac:dyDescent="0.25">
      <c r="A7" s="19" t="s">
        <v>42</v>
      </c>
    </row>
    <row r="8" spans="1:1" x14ac:dyDescent="0.25">
      <c r="A8" s="19" t="s">
        <v>43</v>
      </c>
    </row>
    <row r="9" spans="1:1" x14ac:dyDescent="0.25">
      <c r="A9" s="19" t="s">
        <v>44</v>
      </c>
    </row>
    <row r="10" spans="1:1" x14ac:dyDescent="0.25">
      <c r="A10" s="19" t="s">
        <v>45</v>
      </c>
    </row>
    <row r="11" spans="1:1" x14ac:dyDescent="0.25">
      <c r="A11" s="19" t="s">
        <v>46</v>
      </c>
    </row>
    <row r="12" spans="1:1" x14ac:dyDescent="0.25">
      <c r="A12" s="19" t="s">
        <v>47</v>
      </c>
    </row>
    <row r="13" spans="1:1" ht="30" x14ac:dyDescent="0.25">
      <c r="A13" s="19" t="s">
        <v>48</v>
      </c>
    </row>
    <row r="14" spans="1:1" x14ac:dyDescent="0.25">
      <c r="A14" s="19" t="s">
        <v>49</v>
      </c>
    </row>
    <row r="15" spans="1:1" x14ac:dyDescent="0.25">
      <c r="A15" s="19" t="s">
        <v>50</v>
      </c>
    </row>
    <row r="16" spans="1:1" x14ac:dyDescent="0.25">
      <c r="A16" s="19" t="s">
        <v>51</v>
      </c>
    </row>
    <row r="17" spans="1:1" x14ac:dyDescent="0.25">
      <c r="A17" s="19" t="s">
        <v>52</v>
      </c>
    </row>
    <row r="18" spans="1:1" x14ac:dyDescent="0.25">
      <c r="A18" s="19" t="s">
        <v>53</v>
      </c>
    </row>
    <row r="19" spans="1:1" x14ac:dyDescent="0.25">
      <c r="A19" s="19" t="s">
        <v>54</v>
      </c>
    </row>
    <row r="20" spans="1:1" x14ac:dyDescent="0.25">
      <c r="A20" s="19" t="s">
        <v>55</v>
      </c>
    </row>
    <row r="21" spans="1:1" x14ac:dyDescent="0.25">
      <c r="A21" s="19" t="s">
        <v>56</v>
      </c>
    </row>
    <row r="22" spans="1:1" x14ac:dyDescent="0.25">
      <c r="A22" s="19" t="s">
        <v>57</v>
      </c>
    </row>
    <row r="23" spans="1:1" x14ac:dyDescent="0.25">
      <c r="A23" s="19" t="s">
        <v>58</v>
      </c>
    </row>
    <row r="24" spans="1:1" x14ac:dyDescent="0.25">
      <c r="A24" s="19" t="s">
        <v>59</v>
      </c>
    </row>
    <row r="25" spans="1:1" x14ac:dyDescent="0.25">
      <c r="A25" s="19" t="s">
        <v>60</v>
      </c>
    </row>
    <row r="26" spans="1:1" x14ac:dyDescent="0.25">
      <c r="A26" s="20"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A15" sqref="A15"/>
    </sheetView>
  </sheetViews>
  <sheetFormatPr defaultRowHeight="15" x14ac:dyDescent="0.25"/>
  <cols>
    <col min="1" max="1" width="68.85546875" style="1" bestFit="1" customWidth="1"/>
    <col min="2" max="2" width="15.140625" style="1" bestFit="1" customWidth="1"/>
    <col min="3" max="3" width="71.140625" style="2" customWidth="1"/>
  </cols>
  <sheetData>
    <row r="1" spans="1:3" ht="21" x14ac:dyDescent="0.25">
      <c r="A1" s="81" t="s">
        <v>203</v>
      </c>
      <c r="B1" s="81"/>
      <c r="C1" s="81"/>
    </row>
    <row r="2" spans="1:3" ht="21" x14ac:dyDescent="0.25">
      <c r="A2" s="59"/>
      <c r="B2" s="59"/>
      <c r="C2" s="59"/>
    </row>
    <row r="3" spans="1:3" x14ac:dyDescent="0.25">
      <c r="A3" s="32" t="s">
        <v>64</v>
      </c>
    </row>
    <row r="4" spans="1:3" x14ac:dyDescent="0.25">
      <c r="A4" s="70" t="s">
        <v>202</v>
      </c>
      <c r="B4" s="71" t="s">
        <v>201</v>
      </c>
      <c r="C4" s="72" t="s">
        <v>66</v>
      </c>
    </row>
    <row r="5" spans="1:3" ht="15.75" x14ac:dyDescent="0.25">
      <c r="A5" s="5" t="s">
        <v>0</v>
      </c>
      <c r="B5" s="3"/>
      <c r="C5" s="4"/>
    </row>
    <row r="6" spans="1:3" x14ac:dyDescent="0.25">
      <c r="A6" s="6" t="s">
        <v>1</v>
      </c>
      <c r="B6" s="7">
        <v>266</v>
      </c>
      <c r="C6" s="8" t="s">
        <v>2</v>
      </c>
    </row>
    <row r="7" spans="1:3" x14ac:dyDescent="0.25">
      <c r="A7" s="6"/>
      <c r="B7" s="73"/>
      <c r="C7" s="8"/>
    </row>
    <row r="8" spans="1:3" ht="15.75" x14ac:dyDescent="0.25">
      <c r="A8" s="5" t="s">
        <v>3</v>
      </c>
      <c r="B8" s="9"/>
      <c r="C8" s="10"/>
    </row>
    <row r="9" spans="1:3" x14ac:dyDescent="0.25">
      <c r="A9" s="6" t="s">
        <v>4</v>
      </c>
      <c r="B9" s="7">
        <v>0.22</v>
      </c>
      <c r="C9" s="8" t="s">
        <v>5</v>
      </c>
    </row>
    <row r="10" spans="1:3" x14ac:dyDescent="0.25">
      <c r="A10" s="6"/>
      <c r="B10" s="73"/>
      <c r="C10" s="8"/>
    </row>
    <row r="11" spans="1:3" ht="15.75" x14ac:dyDescent="0.25">
      <c r="A11" s="5" t="s">
        <v>6</v>
      </c>
      <c r="B11" s="9"/>
      <c r="C11" s="10"/>
    </row>
    <row r="12" spans="1:3" x14ac:dyDescent="0.25">
      <c r="A12" s="6" t="s">
        <v>7</v>
      </c>
      <c r="B12" s="7">
        <v>6.67</v>
      </c>
      <c r="C12" s="8" t="s">
        <v>8</v>
      </c>
    </row>
    <row r="13" spans="1:3" ht="29.25" x14ac:dyDescent="0.25">
      <c r="A13" s="6" t="s">
        <v>9</v>
      </c>
      <c r="B13" s="11">
        <v>105</v>
      </c>
      <c r="C13" s="10" t="s">
        <v>204</v>
      </c>
    </row>
    <row r="14" spans="1:3" x14ac:dyDescent="0.25">
      <c r="A14" s="6" t="s">
        <v>10</v>
      </c>
      <c r="B14" s="13">
        <v>4.7E-2</v>
      </c>
      <c r="C14" s="10" t="s">
        <v>11</v>
      </c>
    </row>
    <row r="15" spans="1:3" x14ac:dyDescent="0.25">
      <c r="A15" s="6"/>
      <c r="B15" s="14"/>
      <c r="C15" s="10"/>
    </row>
    <row r="16" spans="1:3" ht="15.75" x14ac:dyDescent="0.25">
      <c r="A16" s="5" t="s">
        <v>12</v>
      </c>
      <c r="B16" s="14"/>
      <c r="C16" s="12"/>
    </row>
    <row r="17" spans="1:3" x14ac:dyDescent="0.25">
      <c r="A17" s="6" t="s">
        <v>13</v>
      </c>
      <c r="B17" s="11">
        <v>0.2</v>
      </c>
      <c r="C17" s="10" t="s">
        <v>14</v>
      </c>
    </row>
    <row r="18" spans="1:3" ht="30" x14ac:dyDescent="0.25">
      <c r="A18" s="6" t="s">
        <v>15</v>
      </c>
      <c r="B18" s="11">
        <v>0.4</v>
      </c>
      <c r="C18" s="10" t="s">
        <v>14</v>
      </c>
    </row>
    <row r="19" spans="1:3" ht="42.75" x14ac:dyDescent="0.25">
      <c r="A19" s="6" t="s">
        <v>16</v>
      </c>
      <c r="B19" s="11">
        <v>16</v>
      </c>
      <c r="C19" s="10" t="s">
        <v>17</v>
      </c>
    </row>
    <row r="20" spans="1:3" ht="30" x14ac:dyDescent="0.25">
      <c r="A20" s="15" t="s">
        <v>18</v>
      </c>
      <c r="B20" s="9" t="s">
        <v>19</v>
      </c>
      <c r="C20" s="10" t="s">
        <v>20</v>
      </c>
    </row>
    <row r="22" spans="1:3" x14ac:dyDescent="0.25">
      <c r="A22" s="2"/>
    </row>
  </sheetData>
  <mergeCells count="1">
    <mergeCell ref="A1:C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workbookViewId="0">
      <selection activeCell="D9" sqref="D9"/>
    </sheetView>
  </sheetViews>
  <sheetFormatPr defaultRowHeight="15" x14ac:dyDescent="0.25"/>
  <cols>
    <col min="1" max="1" width="10.85546875" customWidth="1"/>
    <col min="2" max="2" width="10.28515625" customWidth="1"/>
    <col min="3" max="3" width="11.5703125" style="17" customWidth="1"/>
    <col min="4" max="8" width="10.7109375" style="17" customWidth="1"/>
    <col min="9" max="18" width="9.140625" style="18"/>
    <col min="19" max="16384" width="9.140625" style="16"/>
  </cols>
  <sheetData>
    <row r="1" spans="1:18" customFormat="1" ht="21" x14ac:dyDescent="0.25">
      <c r="A1" s="81" t="s">
        <v>205</v>
      </c>
      <c r="B1" s="81"/>
      <c r="C1" s="81"/>
      <c r="D1" s="81"/>
      <c r="E1" s="81"/>
      <c r="F1" s="81"/>
      <c r="G1" s="81"/>
      <c r="H1" s="81"/>
      <c r="I1" s="81"/>
      <c r="J1" s="81"/>
      <c r="K1" s="81"/>
      <c r="L1" s="84" t="s">
        <v>206</v>
      </c>
      <c r="M1" s="84"/>
      <c r="N1" s="60"/>
      <c r="O1" s="60"/>
      <c r="P1" s="60"/>
      <c r="Q1" s="60"/>
      <c r="R1" s="60"/>
    </row>
    <row r="2" spans="1:18" customFormat="1" ht="21" x14ac:dyDescent="0.25">
      <c r="A2" s="59"/>
      <c r="B2" s="59"/>
      <c r="C2" s="59"/>
      <c r="L2" s="85" t="s">
        <v>207</v>
      </c>
      <c r="M2" s="85"/>
    </row>
    <row r="3" spans="1:18" customFormat="1" x14ac:dyDescent="0.25">
      <c r="A3" s="1"/>
      <c r="B3" s="32" t="s">
        <v>64</v>
      </c>
      <c r="C3" s="2"/>
    </row>
    <row r="4" spans="1:18" customFormat="1" x14ac:dyDescent="0.25">
      <c r="A4" s="82" t="s">
        <v>200</v>
      </c>
      <c r="B4" s="82"/>
      <c r="C4" s="83" t="s">
        <v>209</v>
      </c>
      <c r="D4" s="83"/>
      <c r="E4" s="83"/>
      <c r="F4" s="83"/>
      <c r="G4" s="83"/>
      <c r="H4" s="83"/>
      <c r="I4" s="83"/>
      <c r="J4" s="83"/>
      <c r="K4" s="83"/>
      <c r="L4" s="83"/>
      <c r="M4" s="83"/>
      <c r="N4" s="83"/>
      <c r="O4" s="83"/>
      <c r="P4" s="83"/>
      <c r="Q4" s="83"/>
      <c r="R4" s="83"/>
    </row>
    <row r="5" spans="1:18" x14ac:dyDescent="0.25">
      <c r="A5" s="74" t="s">
        <v>208</v>
      </c>
      <c r="B5" s="75" t="s">
        <v>21</v>
      </c>
      <c r="C5" s="80" t="s">
        <v>22</v>
      </c>
      <c r="D5" s="80" t="s">
        <v>23</v>
      </c>
      <c r="E5" s="80" t="s">
        <v>24</v>
      </c>
      <c r="F5" s="80" t="s">
        <v>25</v>
      </c>
      <c r="G5" s="80" t="s">
        <v>26</v>
      </c>
      <c r="H5" s="80" t="s">
        <v>27</v>
      </c>
      <c r="I5" s="80" t="s">
        <v>28</v>
      </c>
      <c r="J5" s="80" t="s">
        <v>29</v>
      </c>
      <c r="K5" s="80" t="s">
        <v>30</v>
      </c>
      <c r="L5" s="80" t="s">
        <v>31</v>
      </c>
      <c r="M5" s="80" t="s">
        <v>32</v>
      </c>
      <c r="N5" s="80" t="s">
        <v>33</v>
      </c>
      <c r="O5" s="80" t="s">
        <v>34</v>
      </c>
      <c r="P5" s="80" t="s">
        <v>35</v>
      </c>
      <c r="Q5" s="80" t="s">
        <v>36</v>
      </c>
      <c r="R5" s="80" t="s">
        <v>37</v>
      </c>
    </row>
    <row r="6" spans="1:18" x14ac:dyDescent="0.25">
      <c r="A6" s="76">
        <f t="shared" ref="A6:A37" si="0">B6/2.2</f>
        <v>0.45454545454545453</v>
      </c>
      <c r="B6" s="77">
        <v>1</v>
      </c>
      <c r="C6" s="78">
        <v>6.75</v>
      </c>
      <c r="D6" s="78">
        <v>7</v>
      </c>
      <c r="E6" s="78">
        <v>7.15</v>
      </c>
      <c r="F6" s="78">
        <v>8.06</v>
      </c>
      <c r="G6" s="78">
        <v>8.9700000000000006</v>
      </c>
      <c r="H6" s="78">
        <v>9.83</v>
      </c>
      <c r="I6" s="79">
        <v>12.09</v>
      </c>
      <c r="J6" s="79">
        <v>12.66</v>
      </c>
      <c r="K6" s="79">
        <v>7.97</v>
      </c>
      <c r="L6" s="79">
        <v>8</v>
      </c>
      <c r="M6" s="79">
        <v>9.5</v>
      </c>
      <c r="N6" s="79">
        <v>9.6</v>
      </c>
      <c r="O6" s="79">
        <v>11.87</v>
      </c>
      <c r="P6" s="79">
        <v>13.57</v>
      </c>
      <c r="Q6" s="79">
        <v>14.07</v>
      </c>
      <c r="R6" s="79">
        <v>14.58</v>
      </c>
    </row>
    <row r="7" spans="1:18" x14ac:dyDescent="0.25">
      <c r="A7" s="76">
        <f t="shared" si="0"/>
        <v>0.90909090909090906</v>
      </c>
      <c r="B7" s="77">
        <v>2</v>
      </c>
      <c r="C7" s="78">
        <v>6.85</v>
      </c>
      <c r="D7" s="78">
        <v>7.05</v>
      </c>
      <c r="E7" s="78">
        <v>7.29</v>
      </c>
      <c r="F7" s="78">
        <v>8.18</v>
      </c>
      <c r="G7" s="78">
        <v>9.14</v>
      </c>
      <c r="H7" s="78">
        <v>9.9499999999999993</v>
      </c>
      <c r="I7" s="79">
        <v>12.22</v>
      </c>
      <c r="J7" s="79">
        <v>13.06</v>
      </c>
      <c r="K7" s="79">
        <v>8.39</v>
      </c>
      <c r="L7" s="79">
        <v>8.5299999999999994</v>
      </c>
      <c r="M7" s="79">
        <v>9.61</v>
      </c>
      <c r="N7" s="79">
        <v>9.7100000000000009</v>
      </c>
      <c r="O7" s="79">
        <v>12.31</v>
      </c>
      <c r="P7" s="79">
        <v>14.08</v>
      </c>
      <c r="Q7" s="79">
        <v>14.56</v>
      </c>
      <c r="R7" s="79">
        <v>15.15</v>
      </c>
    </row>
    <row r="8" spans="1:18" x14ac:dyDescent="0.25">
      <c r="A8" s="76">
        <f t="shared" si="0"/>
        <v>1.3636363636363635</v>
      </c>
      <c r="B8" s="77">
        <v>3</v>
      </c>
      <c r="C8" s="78">
        <v>6.95</v>
      </c>
      <c r="D8" s="78">
        <v>7.11</v>
      </c>
      <c r="E8" s="78">
        <v>7.43</v>
      </c>
      <c r="F8" s="78">
        <v>8.2799999999999994</v>
      </c>
      <c r="G8" s="78">
        <v>9.2799999999999994</v>
      </c>
      <c r="H8" s="78">
        <v>10.02</v>
      </c>
      <c r="I8" s="79">
        <v>12.55</v>
      </c>
      <c r="J8" s="79">
        <v>13.49</v>
      </c>
      <c r="K8" s="79">
        <v>9.09</v>
      </c>
      <c r="L8" s="79">
        <v>9.16</v>
      </c>
      <c r="M8" s="79">
        <v>9.7799999999999994</v>
      </c>
      <c r="N8" s="79">
        <v>9.8800000000000008</v>
      </c>
      <c r="O8" s="79">
        <v>12.71</v>
      </c>
      <c r="P8" s="79">
        <v>14.55</v>
      </c>
      <c r="Q8" s="79">
        <v>15.11</v>
      </c>
      <c r="R8" s="79">
        <v>15.69</v>
      </c>
    </row>
    <row r="9" spans="1:18" x14ac:dyDescent="0.25">
      <c r="A9" s="76">
        <f t="shared" si="0"/>
        <v>1.8181818181818181</v>
      </c>
      <c r="B9" s="77">
        <v>4</v>
      </c>
      <c r="C9" s="78">
        <v>7.05</v>
      </c>
      <c r="D9" s="78">
        <v>7.15</v>
      </c>
      <c r="E9" s="78">
        <v>7.49</v>
      </c>
      <c r="F9" s="78">
        <v>8.39</v>
      </c>
      <c r="G9" s="78">
        <v>9.4499999999999993</v>
      </c>
      <c r="H9" s="78">
        <v>10.26</v>
      </c>
      <c r="I9" s="79">
        <v>12.77</v>
      </c>
      <c r="J9" s="79">
        <v>13.94</v>
      </c>
      <c r="K9" s="79">
        <v>9.43</v>
      </c>
      <c r="L9" s="79">
        <v>9.5</v>
      </c>
      <c r="M9" s="79">
        <v>10.01</v>
      </c>
      <c r="N9" s="79">
        <v>10.11</v>
      </c>
      <c r="O9" s="79">
        <v>13.13</v>
      </c>
      <c r="P9" s="79">
        <v>15.06</v>
      </c>
      <c r="Q9" s="79">
        <v>15.65</v>
      </c>
      <c r="R9" s="79">
        <v>16.25</v>
      </c>
    </row>
    <row r="10" spans="1:18" x14ac:dyDescent="0.25">
      <c r="A10" s="76">
        <f t="shared" si="0"/>
        <v>2.2727272727272725</v>
      </c>
      <c r="B10" s="77">
        <v>5</v>
      </c>
      <c r="C10" s="78">
        <v>7.15</v>
      </c>
      <c r="D10" s="78">
        <v>7.2</v>
      </c>
      <c r="E10" s="78">
        <v>7.5</v>
      </c>
      <c r="F10" s="78">
        <v>8.51</v>
      </c>
      <c r="G10" s="78">
        <v>9.61</v>
      </c>
      <c r="H10" s="78">
        <v>10.39</v>
      </c>
      <c r="I10" s="79">
        <v>12.95</v>
      </c>
      <c r="J10" s="79">
        <v>14.4</v>
      </c>
      <c r="K10" s="79">
        <v>9.7200000000000006</v>
      </c>
      <c r="L10" s="79">
        <v>9.76</v>
      </c>
      <c r="M10" s="79">
        <v>10.130000000000001</v>
      </c>
      <c r="N10" s="79">
        <v>10.23</v>
      </c>
      <c r="O10" s="79">
        <v>13.42</v>
      </c>
      <c r="P10" s="79">
        <v>15.51</v>
      </c>
      <c r="Q10" s="79">
        <v>16.21</v>
      </c>
      <c r="R10" s="79">
        <v>16.82</v>
      </c>
    </row>
    <row r="11" spans="1:18" x14ac:dyDescent="0.25">
      <c r="A11" s="76">
        <f t="shared" si="0"/>
        <v>2.7272727272727271</v>
      </c>
      <c r="B11" s="77">
        <v>6</v>
      </c>
      <c r="C11" s="78">
        <v>7.25</v>
      </c>
      <c r="D11" s="78">
        <v>7.42</v>
      </c>
      <c r="E11" s="78">
        <v>7.74</v>
      </c>
      <c r="F11" s="78">
        <v>8.74</v>
      </c>
      <c r="G11" s="78">
        <v>9.8000000000000007</v>
      </c>
      <c r="H11" s="78">
        <v>10.6</v>
      </c>
      <c r="I11" s="79">
        <v>13.31</v>
      </c>
      <c r="J11" s="79">
        <v>14.89</v>
      </c>
      <c r="K11" s="79">
        <v>10.09</v>
      </c>
      <c r="L11" s="79">
        <v>10.1</v>
      </c>
      <c r="M11" s="79">
        <v>10.64</v>
      </c>
      <c r="N11" s="79">
        <v>10.74</v>
      </c>
      <c r="O11" s="79">
        <v>14.01</v>
      </c>
      <c r="P11" s="79">
        <v>16.09</v>
      </c>
      <c r="Q11" s="79">
        <v>16.82</v>
      </c>
      <c r="R11" s="79">
        <v>17.420000000000002</v>
      </c>
    </row>
    <row r="12" spans="1:18" x14ac:dyDescent="0.25">
      <c r="A12" s="76">
        <f t="shared" si="0"/>
        <v>3.1818181818181817</v>
      </c>
      <c r="B12" s="77">
        <v>7</v>
      </c>
      <c r="C12" s="78">
        <v>7.35</v>
      </c>
      <c r="D12" s="78">
        <v>7.67</v>
      </c>
      <c r="E12" s="78">
        <v>8.01</v>
      </c>
      <c r="F12" s="78">
        <v>8.9499999999999993</v>
      </c>
      <c r="G12" s="78">
        <v>10.01</v>
      </c>
      <c r="H12" s="78">
        <v>10.82</v>
      </c>
      <c r="I12" s="79">
        <v>13.6</v>
      </c>
      <c r="J12" s="79">
        <v>15.48</v>
      </c>
      <c r="K12" s="79">
        <v>10.37</v>
      </c>
      <c r="L12" s="79">
        <v>10.38</v>
      </c>
      <c r="M12" s="79">
        <v>10.92</v>
      </c>
      <c r="N12" s="79">
        <v>11.02</v>
      </c>
      <c r="O12" s="79">
        <v>14.44</v>
      </c>
      <c r="P12" s="79">
        <v>16.64</v>
      </c>
      <c r="Q12" s="79">
        <v>17.350000000000001</v>
      </c>
      <c r="R12" s="79">
        <v>17.989999999999998</v>
      </c>
    </row>
    <row r="13" spans="1:18" x14ac:dyDescent="0.25">
      <c r="A13" s="76">
        <f t="shared" si="0"/>
        <v>3.6363636363636362</v>
      </c>
      <c r="B13" s="77">
        <v>8</v>
      </c>
      <c r="C13" s="78">
        <v>7.45</v>
      </c>
      <c r="D13" s="78">
        <v>7.95</v>
      </c>
      <c r="E13" s="78">
        <v>8.2899999999999991</v>
      </c>
      <c r="F13" s="78">
        <v>9.1199999999999992</v>
      </c>
      <c r="G13" s="78">
        <v>10.25</v>
      </c>
      <c r="H13" s="78">
        <v>11.06</v>
      </c>
      <c r="I13" s="79">
        <v>14.01</v>
      </c>
      <c r="J13" s="79">
        <v>15.92</v>
      </c>
      <c r="K13" s="79">
        <v>10.64</v>
      </c>
      <c r="L13" s="79">
        <v>10.65</v>
      </c>
      <c r="M13" s="79">
        <v>11.24</v>
      </c>
      <c r="N13" s="79">
        <v>11.34</v>
      </c>
      <c r="O13" s="79">
        <v>14.93</v>
      </c>
      <c r="P13" s="79">
        <v>17.190000000000001</v>
      </c>
      <c r="Q13" s="79">
        <v>17.96</v>
      </c>
      <c r="R13" s="79">
        <v>18.59</v>
      </c>
    </row>
    <row r="14" spans="1:18" x14ac:dyDescent="0.25">
      <c r="A14" s="76">
        <f t="shared" si="0"/>
        <v>4.0909090909090908</v>
      </c>
      <c r="B14" s="77">
        <v>9</v>
      </c>
      <c r="C14" s="78">
        <v>7.55</v>
      </c>
      <c r="D14" s="78">
        <v>8.14</v>
      </c>
      <c r="E14" s="78">
        <v>8.49</v>
      </c>
      <c r="F14" s="78">
        <v>9.3699999999999992</v>
      </c>
      <c r="G14" s="78">
        <v>10.39</v>
      </c>
      <c r="H14" s="78">
        <v>11.28</v>
      </c>
      <c r="I14" s="79">
        <v>14.31</v>
      </c>
      <c r="J14" s="79">
        <v>16.309999999999999</v>
      </c>
      <c r="K14" s="79">
        <v>10.9</v>
      </c>
      <c r="L14" s="79">
        <v>10.93</v>
      </c>
      <c r="M14" s="79">
        <v>12.11</v>
      </c>
      <c r="N14" s="79">
        <v>12.21</v>
      </c>
      <c r="O14" s="79">
        <v>15.37</v>
      </c>
      <c r="P14" s="79">
        <v>17.75</v>
      </c>
      <c r="Q14" s="79">
        <v>18.510000000000002</v>
      </c>
      <c r="R14" s="79">
        <v>19.149999999999999</v>
      </c>
    </row>
    <row r="15" spans="1:18" x14ac:dyDescent="0.25">
      <c r="A15" s="76">
        <f t="shared" si="0"/>
        <v>4.545454545454545</v>
      </c>
      <c r="B15" s="77">
        <v>10</v>
      </c>
      <c r="C15" s="78">
        <v>7.65</v>
      </c>
      <c r="D15" s="78">
        <v>8.41</v>
      </c>
      <c r="E15" s="78">
        <v>8.76</v>
      </c>
      <c r="F15" s="78">
        <v>9.5299999999999994</v>
      </c>
      <c r="G15" s="78">
        <v>10.65</v>
      </c>
      <c r="H15" s="78">
        <v>11.52</v>
      </c>
      <c r="I15" s="79">
        <v>14.69</v>
      </c>
      <c r="J15" s="79">
        <v>16.78</v>
      </c>
      <c r="K15" s="79">
        <v>11.6</v>
      </c>
      <c r="L15" s="79">
        <v>11.63</v>
      </c>
      <c r="M15" s="79">
        <v>13.28</v>
      </c>
      <c r="N15" s="79">
        <v>13.38</v>
      </c>
      <c r="O15" s="79">
        <v>15.87</v>
      </c>
      <c r="P15" s="79">
        <v>18.260000000000002</v>
      </c>
      <c r="Q15" s="79">
        <v>19.03</v>
      </c>
      <c r="R15" s="79">
        <v>19.68</v>
      </c>
    </row>
    <row r="16" spans="1:18" x14ac:dyDescent="0.25">
      <c r="A16" s="76">
        <f t="shared" si="0"/>
        <v>5</v>
      </c>
      <c r="B16" s="77">
        <v>11</v>
      </c>
      <c r="C16" s="78">
        <v>7.75</v>
      </c>
      <c r="D16" s="78">
        <v>8.7799999999999994</v>
      </c>
      <c r="E16" s="78">
        <v>9.15</v>
      </c>
      <c r="F16" s="78">
        <v>9.84</v>
      </c>
      <c r="G16" s="78">
        <v>10.97</v>
      </c>
      <c r="H16" s="78">
        <v>11.87</v>
      </c>
      <c r="I16" s="79">
        <v>15.24</v>
      </c>
      <c r="J16" s="79">
        <v>16.97</v>
      </c>
      <c r="K16" s="79">
        <v>12.35</v>
      </c>
      <c r="L16" s="79">
        <v>12.4</v>
      </c>
      <c r="M16" s="79">
        <v>14.43</v>
      </c>
      <c r="N16" s="79">
        <v>14.53</v>
      </c>
      <c r="O16" s="79">
        <v>16.489999999999998</v>
      </c>
      <c r="P16" s="79">
        <v>19.04</v>
      </c>
      <c r="Q16" s="79">
        <v>19.8</v>
      </c>
      <c r="R16" s="79">
        <v>20.57</v>
      </c>
    </row>
    <row r="17" spans="1:18" x14ac:dyDescent="0.25">
      <c r="A17" s="76">
        <f t="shared" si="0"/>
        <v>5.4545454545454541</v>
      </c>
      <c r="B17" s="77">
        <v>12</v>
      </c>
      <c r="C17" s="78">
        <v>7.85</v>
      </c>
      <c r="D17" s="78">
        <v>9</v>
      </c>
      <c r="E17" s="78">
        <v>9.3800000000000008</v>
      </c>
      <c r="F17" s="78">
        <v>10.06</v>
      </c>
      <c r="G17" s="78">
        <v>11.23</v>
      </c>
      <c r="H17" s="78">
        <v>12.16</v>
      </c>
      <c r="I17" s="79">
        <v>15.57</v>
      </c>
      <c r="J17" s="79">
        <v>17.39</v>
      </c>
      <c r="K17" s="79">
        <v>12.67</v>
      </c>
      <c r="L17" s="79">
        <v>12.68</v>
      </c>
      <c r="M17" s="79">
        <v>14.78</v>
      </c>
      <c r="N17" s="79">
        <v>14.88</v>
      </c>
      <c r="O17" s="79">
        <v>16.97</v>
      </c>
      <c r="P17" s="79">
        <v>19.53</v>
      </c>
      <c r="Q17" s="79">
        <v>20.34</v>
      </c>
      <c r="R17" s="79">
        <v>21.08</v>
      </c>
    </row>
    <row r="18" spans="1:18" x14ac:dyDescent="0.25">
      <c r="A18" s="76">
        <f t="shared" si="0"/>
        <v>5.9090909090909083</v>
      </c>
      <c r="B18" s="77">
        <v>13</v>
      </c>
      <c r="C18" s="78">
        <v>7.95</v>
      </c>
      <c r="D18" s="78">
        <v>9.2200000000000006</v>
      </c>
      <c r="E18" s="78">
        <v>9.6300000000000008</v>
      </c>
      <c r="F18" s="78">
        <v>10.25</v>
      </c>
      <c r="G18" s="78">
        <v>11.42</v>
      </c>
      <c r="H18" s="78">
        <v>12.39</v>
      </c>
      <c r="I18" s="79">
        <v>15.92</v>
      </c>
      <c r="J18" s="79">
        <v>17.86</v>
      </c>
      <c r="K18" s="79">
        <v>13.03</v>
      </c>
      <c r="L18" s="79">
        <v>13.04</v>
      </c>
      <c r="M18" s="79">
        <v>15.18</v>
      </c>
      <c r="N18" s="79">
        <v>15.28</v>
      </c>
      <c r="O18" s="79">
        <v>17.350000000000001</v>
      </c>
      <c r="P18" s="79">
        <v>20.05</v>
      </c>
      <c r="Q18" s="79">
        <v>20.89</v>
      </c>
      <c r="R18" s="79">
        <v>21.66</v>
      </c>
    </row>
    <row r="19" spans="1:18" x14ac:dyDescent="0.25">
      <c r="A19" s="76">
        <f t="shared" si="0"/>
        <v>6.3636363636363633</v>
      </c>
      <c r="B19" s="77">
        <v>14</v>
      </c>
      <c r="C19" s="78">
        <v>8.0500000000000007</v>
      </c>
      <c r="D19" s="78">
        <v>9.4700000000000006</v>
      </c>
      <c r="E19" s="78">
        <v>9.8699999999999992</v>
      </c>
      <c r="F19" s="78">
        <v>10.49</v>
      </c>
      <c r="G19" s="78">
        <v>11.63</v>
      </c>
      <c r="H19" s="78">
        <v>12.61</v>
      </c>
      <c r="I19" s="79">
        <v>16.25</v>
      </c>
      <c r="J19" s="79">
        <v>18.190000000000001</v>
      </c>
      <c r="K19" s="79">
        <v>13.32</v>
      </c>
      <c r="L19" s="79">
        <v>13.33</v>
      </c>
      <c r="M19" s="79">
        <v>15.56</v>
      </c>
      <c r="N19" s="79">
        <v>15.66</v>
      </c>
      <c r="O19" s="79">
        <v>17.82</v>
      </c>
      <c r="P19" s="79">
        <v>20.5</v>
      </c>
      <c r="Q19" s="79">
        <v>21.38</v>
      </c>
      <c r="R19" s="79">
        <v>22.17</v>
      </c>
    </row>
    <row r="20" spans="1:18" x14ac:dyDescent="0.25">
      <c r="A20" s="76">
        <f t="shared" si="0"/>
        <v>6.8181818181818175</v>
      </c>
      <c r="B20" s="77">
        <v>15</v>
      </c>
      <c r="C20" s="78">
        <v>8.15</v>
      </c>
      <c r="D20" s="78">
        <v>9.61</v>
      </c>
      <c r="E20" s="78">
        <v>10.039999999999999</v>
      </c>
      <c r="F20" s="78">
        <v>10.73</v>
      </c>
      <c r="G20" s="78">
        <v>11.86</v>
      </c>
      <c r="H20" s="78">
        <v>12.81</v>
      </c>
      <c r="I20" s="79">
        <v>16.649999999999999</v>
      </c>
      <c r="J20" s="79">
        <v>18.66</v>
      </c>
      <c r="K20" s="79">
        <v>13.66</v>
      </c>
      <c r="L20" s="79">
        <v>13.69</v>
      </c>
      <c r="M20" s="79">
        <v>15.91</v>
      </c>
      <c r="N20" s="79">
        <v>16.010000000000002</v>
      </c>
      <c r="O20" s="79">
        <v>18.21</v>
      </c>
      <c r="P20" s="79">
        <v>21</v>
      </c>
      <c r="Q20" s="79">
        <v>21.88</v>
      </c>
      <c r="R20" s="79">
        <v>22.72</v>
      </c>
    </row>
    <row r="21" spans="1:18" x14ac:dyDescent="0.25">
      <c r="A21" s="76">
        <f t="shared" si="0"/>
        <v>7.2727272727272725</v>
      </c>
      <c r="B21" s="77">
        <v>16</v>
      </c>
      <c r="C21" s="78">
        <v>8.25</v>
      </c>
      <c r="D21" s="78">
        <v>9.92</v>
      </c>
      <c r="E21" s="78">
        <v>10.35</v>
      </c>
      <c r="F21" s="78">
        <v>11.04</v>
      </c>
      <c r="G21" s="78">
        <v>12.1</v>
      </c>
      <c r="H21" s="78">
        <v>13.09</v>
      </c>
      <c r="I21" s="79">
        <v>16.97</v>
      </c>
      <c r="J21" s="79">
        <v>19.100000000000001</v>
      </c>
      <c r="K21" s="79">
        <v>14.01</v>
      </c>
      <c r="L21" s="79">
        <v>14.02</v>
      </c>
      <c r="M21" s="79">
        <v>16.760000000000002</v>
      </c>
      <c r="N21" s="79">
        <v>16.86</v>
      </c>
      <c r="O21" s="79">
        <v>18.670000000000002</v>
      </c>
      <c r="P21" s="79">
        <v>21.48</v>
      </c>
      <c r="Q21" s="79">
        <v>22.41</v>
      </c>
      <c r="R21" s="79">
        <v>23.16</v>
      </c>
    </row>
    <row r="22" spans="1:18" x14ac:dyDescent="0.25">
      <c r="A22" s="76">
        <f t="shared" si="0"/>
        <v>7.7272727272727266</v>
      </c>
      <c r="B22" s="77">
        <v>17</v>
      </c>
      <c r="C22" s="78">
        <v>8.35</v>
      </c>
      <c r="D22" s="78">
        <v>10.09</v>
      </c>
      <c r="E22" s="78">
        <v>10.53</v>
      </c>
      <c r="F22" s="78">
        <v>11.24</v>
      </c>
      <c r="G22" s="78">
        <v>12.32</v>
      </c>
      <c r="H22" s="78">
        <v>13.31</v>
      </c>
      <c r="I22" s="79">
        <v>17.350000000000001</v>
      </c>
      <c r="J22" s="79">
        <v>19.5</v>
      </c>
      <c r="K22" s="79">
        <v>14.33</v>
      </c>
      <c r="L22" s="79">
        <v>14.34</v>
      </c>
      <c r="M22" s="79">
        <v>17.12</v>
      </c>
      <c r="N22" s="79">
        <v>17.22</v>
      </c>
      <c r="O22" s="79">
        <v>19</v>
      </c>
      <c r="P22" s="79">
        <v>21.89</v>
      </c>
      <c r="Q22" s="79">
        <v>22.87</v>
      </c>
      <c r="R22" s="79">
        <v>23.69</v>
      </c>
    </row>
    <row r="23" spans="1:18" x14ac:dyDescent="0.25">
      <c r="A23" s="76">
        <f t="shared" si="0"/>
        <v>8.1818181818181817</v>
      </c>
      <c r="B23" s="77">
        <v>18</v>
      </c>
      <c r="C23" s="78">
        <v>8.4499999999999993</v>
      </c>
      <c r="D23" s="78">
        <v>10.36</v>
      </c>
      <c r="E23" s="78">
        <v>10.79</v>
      </c>
      <c r="F23" s="78">
        <v>11.52</v>
      </c>
      <c r="G23" s="78">
        <v>12.54</v>
      </c>
      <c r="H23" s="78">
        <v>13.56</v>
      </c>
      <c r="I23" s="79">
        <v>17.68</v>
      </c>
      <c r="J23" s="79">
        <v>19.95</v>
      </c>
      <c r="K23" s="79">
        <v>14.58</v>
      </c>
      <c r="L23" s="79">
        <v>14.67</v>
      </c>
      <c r="M23" s="79">
        <v>17.45</v>
      </c>
      <c r="N23" s="79">
        <v>17.55</v>
      </c>
      <c r="O23" s="79">
        <v>19.48</v>
      </c>
      <c r="P23" s="79">
        <v>22.41</v>
      </c>
      <c r="Q23" s="79">
        <v>23.39</v>
      </c>
      <c r="R23" s="79">
        <v>24.2</v>
      </c>
    </row>
    <row r="24" spans="1:18" x14ac:dyDescent="0.25">
      <c r="A24" s="76">
        <f t="shared" si="0"/>
        <v>8.6363636363636349</v>
      </c>
      <c r="B24" s="77">
        <v>19</v>
      </c>
      <c r="C24" s="78">
        <v>8.5500000000000007</v>
      </c>
      <c r="D24" s="78">
        <v>10.61</v>
      </c>
      <c r="E24" s="78">
        <v>11.06</v>
      </c>
      <c r="F24" s="78">
        <v>11.76</v>
      </c>
      <c r="G24" s="78">
        <v>12.77</v>
      </c>
      <c r="H24" s="78">
        <v>13.81</v>
      </c>
      <c r="I24" s="79">
        <v>18.010000000000002</v>
      </c>
      <c r="J24" s="79">
        <v>20.3</v>
      </c>
      <c r="K24" s="79">
        <v>14.76</v>
      </c>
      <c r="L24" s="79">
        <v>14.97</v>
      </c>
      <c r="M24" s="79">
        <v>17.82</v>
      </c>
      <c r="N24" s="79">
        <v>17.920000000000002</v>
      </c>
      <c r="O24" s="79">
        <v>19.88</v>
      </c>
      <c r="P24" s="79">
        <v>22.88</v>
      </c>
      <c r="Q24" s="79">
        <v>23.86</v>
      </c>
      <c r="R24" s="79">
        <v>24.7</v>
      </c>
    </row>
    <row r="25" spans="1:18" x14ac:dyDescent="0.25">
      <c r="A25" s="76">
        <f t="shared" si="0"/>
        <v>9.0909090909090899</v>
      </c>
      <c r="B25" s="77">
        <v>20</v>
      </c>
      <c r="C25" s="78">
        <v>8.65</v>
      </c>
      <c r="D25" s="78">
        <v>10.85</v>
      </c>
      <c r="E25" s="78">
        <v>11.33</v>
      </c>
      <c r="F25" s="78">
        <v>12.04</v>
      </c>
      <c r="G25" s="78">
        <v>13</v>
      </c>
      <c r="H25" s="78">
        <v>14.1</v>
      </c>
      <c r="I25" s="79">
        <v>18.41</v>
      </c>
      <c r="J25" s="79">
        <v>20.76</v>
      </c>
      <c r="K25" s="79">
        <v>15.03</v>
      </c>
      <c r="L25" s="79">
        <v>15.33</v>
      </c>
      <c r="M25" s="79">
        <v>18.190000000000001</v>
      </c>
      <c r="N25" s="79">
        <v>18.29</v>
      </c>
      <c r="O25" s="79">
        <v>20.25</v>
      </c>
      <c r="P25" s="79">
        <v>23.29</v>
      </c>
      <c r="Q25" s="79">
        <v>24.26</v>
      </c>
      <c r="R25" s="79">
        <v>25.14</v>
      </c>
    </row>
    <row r="26" spans="1:18" x14ac:dyDescent="0.25">
      <c r="A26" s="76">
        <f t="shared" si="0"/>
        <v>9.545454545454545</v>
      </c>
      <c r="B26" s="77">
        <v>21</v>
      </c>
      <c r="C26" s="78">
        <v>8.75</v>
      </c>
      <c r="D26" s="78">
        <v>11.07</v>
      </c>
      <c r="E26" s="78">
        <v>11.53</v>
      </c>
      <c r="F26" s="78">
        <v>12.69</v>
      </c>
      <c r="G26" s="78">
        <v>13.59</v>
      </c>
      <c r="H26" s="78">
        <v>14.69</v>
      </c>
      <c r="I26" s="79">
        <v>19.260000000000002</v>
      </c>
      <c r="J26" s="79">
        <v>21.86</v>
      </c>
      <c r="K26" s="79">
        <v>15.25</v>
      </c>
      <c r="L26" s="79">
        <v>15.55</v>
      </c>
      <c r="M26" s="79">
        <v>18.52</v>
      </c>
      <c r="N26" s="79">
        <v>18.62</v>
      </c>
      <c r="O26" s="79">
        <v>20.9</v>
      </c>
      <c r="P26" s="79">
        <v>24.04</v>
      </c>
      <c r="Q26" s="79">
        <v>25.07</v>
      </c>
      <c r="R26" s="79">
        <v>25.93</v>
      </c>
    </row>
    <row r="27" spans="1:18" x14ac:dyDescent="0.25">
      <c r="A27" s="76">
        <f t="shared" si="0"/>
        <v>10</v>
      </c>
      <c r="B27" s="77">
        <v>22</v>
      </c>
      <c r="C27" s="78">
        <v>8.85</v>
      </c>
      <c r="D27" s="78">
        <v>11.25</v>
      </c>
      <c r="E27" s="78">
        <v>11.79</v>
      </c>
      <c r="F27" s="78">
        <v>12.91</v>
      </c>
      <c r="G27" s="78">
        <v>13.84</v>
      </c>
      <c r="H27" s="78">
        <v>14.92</v>
      </c>
      <c r="I27" s="79">
        <v>19.62</v>
      </c>
      <c r="J27" s="79">
        <v>22.23</v>
      </c>
      <c r="K27" s="79">
        <v>15.44</v>
      </c>
      <c r="L27" s="79">
        <v>15.81</v>
      </c>
      <c r="M27" s="79">
        <v>18.63</v>
      </c>
      <c r="N27" s="79">
        <v>18.73</v>
      </c>
      <c r="O27" s="79">
        <v>21.22</v>
      </c>
      <c r="P27" s="79">
        <v>24.46</v>
      </c>
      <c r="Q27" s="79">
        <v>25.53</v>
      </c>
      <c r="R27" s="79">
        <v>26.39</v>
      </c>
    </row>
    <row r="28" spans="1:18" x14ac:dyDescent="0.25">
      <c r="A28" s="76">
        <f t="shared" si="0"/>
        <v>10.454545454545453</v>
      </c>
      <c r="B28" s="77">
        <v>23</v>
      </c>
      <c r="C28" s="78">
        <v>8.9499999999999993</v>
      </c>
      <c r="D28" s="78">
        <v>11.47</v>
      </c>
      <c r="E28" s="78">
        <v>11.95</v>
      </c>
      <c r="F28" s="78">
        <v>13.16</v>
      </c>
      <c r="G28" s="78">
        <v>14.14</v>
      </c>
      <c r="H28" s="78">
        <v>15.17</v>
      </c>
      <c r="I28" s="79">
        <v>19.97</v>
      </c>
      <c r="J28" s="79">
        <v>22.63</v>
      </c>
      <c r="K28" s="79">
        <v>15.72</v>
      </c>
      <c r="L28" s="79">
        <v>16.010000000000002</v>
      </c>
      <c r="M28" s="79">
        <v>18.8</v>
      </c>
      <c r="N28" s="79">
        <v>18.899999999999999</v>
      </c>
      <c r="O28" s="79">
        <v>21.66</v>
      </c>
      <c r="P28" s="79">
        <v>24.87</v>
      </c>
      <c r="Q28" s="79">
        <v>26</v>
      </c>
      <c r="R28" s="79">
        <v>26.83</v>
      </c>
    </row>
    <row r="29" spans="1:18" x14ac:dyDescent="0.25">
      <c r="A29" s="76">
        <f t="shared" si="0"/>
        <v>10.909090909090908</v>
      </c>
      <c r="B29" s="77">
        <v>24</v>
      </c>
      <c r="C29" s="78">
        <v>9.0500000000000007</v>
      </c>
      <c r="D29" s="78">
        <v>11.72</v>
      </c>
      <c r="E29" s="78">
        <v>12.23</v>
      </c>
      <c r="F29" s="78">
        <v>13.44</v>
      </c>
      <c r="G29" s="78">
        <v>14.33</v>
      </c>
      <c r="H29" s="78">
        <v>15.44</v>
      </c>
      <c r="I29" s="79">
        <v>20.32</v>
      </c>
      <c r="J29" s="79">
        <v>22.98</v>
      </c>
      <c r="K29" s="79">
        <v>15.89</v>
      </c>
      <c r="L29" s="79">
        <v>16.260000000000002</v>
      </c>
      <c r="M29" s="79">
        <v>18.93</v>
      </c>
      <c r="N29" s="79">
        <v>19.03</v>
      </c>
      <c r="O29" s="79">
        <v>21.95</v>
      </c>
      <c r="P29" s="79">
        <v>25.26</v>
      </c>
      <c r="Q29" s="79">
        <v>26.44</v>
      </c>
      <c r="R29" s="79">
        <v>27.31</v>
      </c>
    </row>
    <row r="30" spans="1:18" x14ac:dyDescent="0.25">
      <c r="A30" s="76">
        <f t="shared" si="0"/>
        <v>11.363636363636363</v>
      </c>
      <c r="B30" s="77">
        <v>25</v>
      </c>
      <c r="C30" s="78">
        <v>9.15</v>
      </c>
      <c r="D30" s="78">
        <v>11.87</v>
      </c>
      <c r="E30" s="78">
        <v>12.4</v>
      </c>
      <c r="F30" s="78">
        <v>13.69</v>
      </c>
      <c r="G30" s="78">
        <v>14.56</v>
      </c>
      <c r="H30" s="78">
        <v>15.69</v>
      </c>
      <c r="I30" s="79">
        <v>20.6</v>
      </c>
      <c r="J30" s="79">
        <v>23.39</v>
      </c>
      <c r="K30" s="79">
        <v>16.11</v>
      </c>
      <c r="L30" s="79">
        <v>16.420000000000002</v>
      </c>
      <c r="M30" s="79">
        <v>19.3</v>
      </c>
      <c r="N30" s="79">
        <v>19.399999999999999</v>
      </c>
      <c r="O30" s="79">
        <v>22.29</v>
      </c>
      <c r="P30" s="79">
        <v>25.71</v>
      </c>
      <c r="Q30" s="79">
        <v>26.9</v>
      </c>
      <c r="R30" s="79">
        <v>27.78</v>
      </c>
    </row>
    <row r="31" spans="1:18" x14ac:dyDescent="0.25">
      <c r="A31" s="76">
        <f t="shared" si="0"/>
        <v>11.818181818181817</v>
      </c>
      <c r="B31" s="77">
        <v>26</v>
      </c>
      <c r="C31" s="78">
        <v>9.25</v>
      </c>
      <c r="D31" s="78">
        <v>12.11</v>
      </c>
      <c r="E31" s="78">
        <v>12.63</v>
      </c>
      <c r="F31" s="78">
        <v>13.92</v>
      </c>
      <c r="G31" s="78">
        <v>14.83</v>
      </c>
      <c r="H31" s="78">
        <v>15.94</v>
      </c>
      <c r="I31" s="79">
        <v>20.98</v>
      </c>
      <c r="J31" s="79">
        <v>23.69</v>
      </c>
      <c r="K31" s="79">
        <v>16.34</v>
      </c>
      <c r="L31" s="79">
        <v>16.690000000000001</v>
      </c>
      <c r="M31" s="79">
        <v>19.600000000000001</v>
      </c>
      <c r="N31" s="79">
        <v>19.7</v>
      </c>
      <c r="O31" s="79">
        <v>22.65</v>
      </c>
      <c r="P31" s="79">
        <v>26.1</v>
      </c>
      <c r="Q31" s="79">
        <v>27.31</v>
      </c>
      <c r="R31" s="79">
        <v>28.22</v>
      </c>
    </row>
    <row r="32" spans="1:18" x14ac:dyDescent="0.25">
      <c r="A32" s="76">
        <f t="shared" si="0"/>
        <v>12.272727272727272</v>
      </c>
      <c r="B32" s="77">
        <v>27</v>
      </c>
      <c r="C32" s="78">
        <v>9.35</v>
      </c>
      <c r="D32" s="78">
        <v>12.35</v>
      </c>
      <c r="E32" s="78">
        <v>12.87</v>
      </c>
      <c r="F32" s="78">
        <v>14.16</v>
      </c>
      <c r="G32" s="78">
        <v>15.1</v>
      </c>
      <c r="H32" s="78">
        <v>16.23</v>
      </c>
      <c r="I32" s="79">
        <v>21.34</v>
      </c>
      <c r="J32" s="79">
        <v>24.13</v>
      </c>
      <c r="K32" s="79">
        <v>16.579999999999998</v>
      </c>
      <c r="L32" s="79">
        <v>16.920000000000002</v>
      </c>
      <c r="M32" s="79">
        <v>19.899999999999999</v>
      </c>
      <c r="N32" s="79">
        <v>20</v>
      </c>
      <c r="O32" s="79">
        <v>22.99</v>
      </c>
      <c r="P32" s="79">
        <v>26.54</v>
      </c>
      <c r="Q32" s="79">
        <v>27.76</v>
      </c>
      <c r="R32" s="79">
        <v>28.66</v>
      </c>
    </row>
    <row r="33" spans="1:18" x14ac:dyDescent="0.25">
      <c r="A33" s="76">
        <f t="shared" si="0"/>
        <v>12.727272727272727</v>
      </c>
      <c r="B33" s="77">
        <v>28</v>
      </c>
      <c r="C33" s="78">
        <v>9.4499999999999993</v>
      </c>
      <c r="D33" s="78">
        <v>12.56</v>
      </c>
      <c r="E33" s="78">
        <v>13.08</v>
      </c>
      <c r="F33" s="78">
        <v>14.39</v>
      </c>
      <c r="G33" s="78">
        <v>15.33</v>
      </c>
      <c r="H33" s="78">
        <v>16.48</v>
      </c>
      <c r="I33" s="79">
        <v>21.59</v>
      </c>
      <c r="J33" s="79">
        <v>24.5</v>
      </c>
      <c r="K33" s="79">
        <v>16.809999999999999</v>
      </c>
      <c r="L33" s="79">
        <v>17.16</v>
      </c>
      <c r="M33" s="79">
        <v>20.18</v>
      </c>
      <c r="N33" s="79">
        <v>20.28</v>
      </c>
      <c r="O33" s="79">
        <v>23.31</v>
      </c>
      <c r="P33" s="79">
        <v>26.9</v>
      </c>
      <c r="Q33" s="79">
        <v>28.24</v>
      </c>
      <c r="R33" s="79">
        <v>29.08</v>
      </c>
    </row>
    <row r="34" spans="1:18" x14ac:dyDescent="0.25">
      <c r="A34" s="76">
        <f t="shared" si="0"/>
        <v>13.18181818181818</v>
      </c>
      <c r="B34" s="77">
        <v>29</v>
      </c>
      <c r="C34" s="78">
        <v>9.5500000000000007</v>
      </c>
      <c r="D34" s="78">
        <v>12.8</v>
      </c>
      <c r="E34" s="78">
        <v>13.33</v>
      </c>
      <c r="F34" s="78">
        <v>14.64</v>
      </c>
      <c r="G34" s="78">
        <v>15.58</v>
      </c>
      <c r="H34" s="78">
        <v>16.760000000000002</v>
      </c>
      <c r="I34" s="79">
        <v>22</v>
      </c>
      <c r="J34" s="79">
        <v>24.86</v>
      </c>
      <c r="K34" s="79">
        <v>17.010000000000002</v>
      </c>
      <c r="L34" s="79">
        <v>17.329999999999998</v>
      </c>
      <c r="M34" s="79">
        <v>20.49</v>
      </c>
      <c r="N34" s="79">
        <v>20.59</v>
      </c>
      <c r="O34" s="79">
        <v>23.64</v>
      </c>
      <c r="P34" s="79">
        <v>27.28</v>
      </c>
      <c r="Q34" s="79">
        <v>28.63</v>
      </c>
      <c r="R34" s="79">
        <v>29.48</v>
      </c>
    </row>
    <row r="35" spans="1:18" x14ac:dyDescent="0.25">
      <c r="A35" s="76">
        <f t="shared" si="0"/>
        <v>13.636363636363635</v>
      </c>
      <c r="B35" s="77">
        <v>30</v>
      </c>
      <c r="C35" s="78">
        <v>9.65</v>
      </c>
      <c r="D35" s="78">
        <v>12.96</v>
      </c>
      <c r="E35" s="78">
        <v>13.5</v>
      </c>
      <c r="F35" s="78">
        <v>14.91</v>
      </c>
      <c r="G35" s="78">
        <v>15.81</v>
      </c>
      <c r="H35" s="78">
        <v>16.96</v>
      </c>
      <c r="I35" s="79">
        <v>22.29</v>
      </c>
      <c r="J35" s="79">
        <v>25.2</v>
      </c>
      <c r="K35" s="79">
        <v>17.29</v>
      </c>
      <c r="L35" s="79">
        <v>17.53</v>
      </c>
      <c r="M35" s="79">
        <v>20.88</v>
      </c>
      <c r="N35" s="79">
        <v>20.98</v>
      </c>
      <c r="O35" s="79">
        <v>24.1</v>
      </c>
      <c r="P35" s="79">
        <v>27.8</v>
      </c>
      <c r="Q35" s="79">
        <v>29.14</v>
      </c>
      <c r="R35" s="79">
        <v>30.02</v>
      </c>
    </row>
    <row r="36" spans="1:18" x14ac:dyDescent="0.25">
      <c r="A36" s="76">
        <f t="shared" si="0"/>
        <v>14.09090909090909</v>
      </c>
      <c r="B36" s="77">
        <v>31</v>
      </c>
      <c r="C36" s="78">
        <v>9.75</v>
      </c>
      <c r="D36" s="78">
        <v>13.14</v>
      </c>
      <c r="E36" s="78">
        <v>13.72</v>
      </c>
      <c r="F36" s="78">
        <v>15.13</v>
      </c>
      <c r="G36" s="78">
        <v>16.079999999999998</v>
      </c>
      <c r="H36" s="78">
        <v>17.28</v>
      </c>
      <c r="I36" s="79">
        <v>22.66</v>
      </c>
      <c r="J36" s="79">
        <v>25.6</v>
      </c>
      <c r="K36" s="79">
        <v>17.52</v>
      </c>
      <c r="L36" s="79">
        <v>17.670000000000002</v>
      </c>
      <c r="M36" s="79">
        <v>21.19</v>
      </c>
      <c r="N36" s="79">
        <v>21.29</v>
      </c>
      <c r="O36" s="79">
        <v>24.39</v>
      </c>
      <c r="P36" s="79">
        <v>28.19</v>
      </c>
      <c r="Q36" s="79">
        <v>29.58</v>
      </c>
      <c r="R36" s="79">
        <v>30.46</v>
      </c>
    </row>
    <row r="37" spans="1:18" x14ac:dyDescent="0.25">
      <c r="A37" s="76">
        <f t="shared" si="0"/>
        <v>14.545454545454545</v>
      </c>
      <c r="B37" s="77">
        <v>32</v>
      </c>
      <c r="C37" s="78">
        <v>9.85</v>
      </c>
      <c r="D37" s="78">
        <v>13.41</v>
      </c>
      <c r="E37" s="78">
        <v>13.98</v>
      </c>
      <c r="F37" s="78">
        <v>15.42</v>
      </c>
      <c r="G37" s="78">
        <v>16.350000000000001</v>
      </c>
      <c r="H37" s="78">
        <v>17.55</v>
      </c>
      <c r="I37" s="79">
        <v>22.98</v>
      </c>
      <c r="J37" s="79">
        <v>25.97</v>
      </c>
      <c r="K37" s="79">
        <v>17.579999999999998</v>
      </c>
      <c r="L37" s="79">
        <v>17.809999999999999</v>
      </c>
      <c r="M37" s="79">
        <v>21.48</v>
      </c>
      <c r="N37" s="79">
        <v>21.58</v>
      </c>
      <c r="O37" s="79">
        <v>24.72</v>
      </c>
      <c r="P37" s="79">
        <v>28.6</v>
      </c>
      <c r="Q37" s="79">
        <v>29.99</v>
      </c>
      <c r="R37" s="79">
        <v>30.84</v>
      </c>
    </row>
    <row r="38" spans="1:18" x14ac:dyDescent="0.25">
      <c r="A38" s="76">
        <f t="shared" ref="A38:A69" si="1">B38/2.2</f>
        <v>14.999999999999998</v>
      </c>
      <c r="B38" s="77">
        <v>33</v>
      </c>
      <c r="C38" s="78">
        <v>9.9499999999999993</v>
      </c>
      <c r="D38" s="78">
        <v>13.49</v>
      </c>
      <c r="E38" s="78">
        <v>14.15</v>
      </c>
      <c r="F38" s="78">
        <v>15.65</v>
      </c>
      <c r="G38" s="78">
        <v>16.63</v>
      </c>
      <c r="H38" s="78">
        <v>17.77</v>
      </c>
      <c r="I38" s="79">
        <v>23.31</v>
      </c>
      <c r="J38" s="79">
        <v>26.32</v>
      </c>
      <c r="K38" s="79">
        <v>17.77</v>
      </c>
      <c r="L38" s="79">
        <v>18.09</v>
      </c>
      <c r="M38" s="79">
        <v>21.75</v>
      </c>
      <c r="N38" s="79">
        <v>21.85</v>
      </c>
      <c r="O38" s="79">
        <v>25.03</v>
      </c>
      <c r="P38" s="79">
        <v>28.96</v>
      </c>
      <c r="Q38" s="79">
        <v>30.37</v>
      </c>
      <c r="R38" s="79">
        <v>31.28</v>
      </c>
    </row>
    <row r="39" spans="1:18" x14ac:dyDescent="0.25">
      <c r="A39" s="76">
        <f t="shared" si="1"/>
        <v>15.454545454545453</v>
      </c>
      <c r="B39" s="77">
        <v>34</v>
      </c>
      <c r="C39" s="78">
        <v>10.050000000000001</v>
      </c>
      <c r="D39" s="78">
        <v>13.53</v>
      </c>
      <c r="E39" s="78">
        <v>14.4</v>
      </c>
      <c r="F39" s="78">
        <v>15.94</v>
      </c>
      <c r="G39" s="78">
        <v>16.829999999999998</v>
      </c>
      <c r="H39" s="78">
        <v>18.079999999999998</v>
      </c>
      <c r="I39" s="79">
        <v>23.61</v>
      </c>
      <c r="J39" s="79">
        <v>26.72</v>
      </c>
      <c r="K39" s="79">
        <v>17.86</v>
      </c>
      <c r="L39" s="79">
        <v>18.34</v>
      </c>
      <c r="M39" s="79">
        <v>21.87</v>
      </c>
      <c r="N39" s="79">
        <v>21.97</v>
      </c>
      <c r="O39" s="79">
        <v>25.34</v>
      </c>
      <c r="P39" s="79">
        <v>29.3</v>
      </c>
      <c r="Q39" s="79">
        <v>30.77</v>
      </c>
      <c r="R39" s="79">
        <v>31.63</v>
      </c>
    </row>
    <row r="40" spans="1:18" x14ac:dyDescent="0.25">
      <c r="A40" s="76">
        <f t="shared" si="1"/>
        <v>15.909090909090908</v>
      </c>
      <c r="B40" s="77">
        <v>35</v>
      </c>
      <c r="C40" s="78">
        <v>10.15</v>
      </c>
      <c r="D40" s="78">
        <v>13.79</v>
      </c>
      <c r="E40" s="78">
        <v>14.61</v>
      </c>
      <c r="F40" s="78">
        <v>16.12</v>
      </c>
      <c r="G40" s="78">
        <v>17.07</v>
      </c>
      <c r="H40" s="78">
        <v>18.39</v>
      </c>
      <c r="I40" s="79">
        <v>24.02</v>
      </c>
      <c r="J40" s="79">
        <v>27.05</v>
      </c>
      <c r="K40" s="79">
        <v>18.11</v>
      </c>
      <c r="L40" s="79">
        <v>18.38</v>
      </c>
      <c r="M40" s="79">
        <v>22.05</v>
      </c>
      <c r="N40" s="79">
        <v>22.15</v>
      </c>
      <c r="O40" s="79">
        <v>25.66</v>
      </c>
      <c r="P40" s="79">
        <v>29.69</v>
      </c>
      <c r="Q40" s="79">
        <v>31.16</v>
      </c>
      <c r="R40" s="79">
        <v>32.049999999999997</v>
      </c>
    </row>
    <row r="41" spans="1:18" x14ac:dyDescent="0.25">
      <c r="A41" s="76">
        <f t="shared" si="1"/>
        <v>16.363636363636363</v>
      </c>
      <c r="B41" s="77">
        <v>36</v>
      </c>
      <c r="C41" s="78">
        <v>10.25</v>
      </c>
      <c r="D41" s="78">
        <v>14</v>
      </c>
      <c r="E41" s="78">
        <v>14.81</v>
      </c>
      <c r="F41" s="78">
        <v>16.399999999999999</v>
      </c>
      <c r="G41" s="78">
        <v>17.329999999999998</v>
      </c>
      <c r="H41" s="78">
        <v>18.57</v>
      </c>
      <c r="I41" s="79">
        <v>24.31</v>
      </c>
      <c r="J41" s="79">
        <v>27.42</v>
      </c>
      <c r="K41" s="79">
        <v>18.38</v>
      </c>
      <c r="L41" s="79">
        <v>18.82</v>
      </c>
      <c r="M41" s="79">
        <v>22.19</v>
      </c>
      <c r="N41" s="79">
        <v>22.29</v>
      </c>
      <c r="O41" s="79">
        <v>25.95</v>
      </c>
      <c r="P41" s="79">
        <v>30.04</v>
      </c>
      <c r="Q41" s="79">
        <v>31.6</v>
      </c>
      <c r="R41" s="79">
        <v>32.44</v>
      </c>
    </row>
    <row r="42" spans="1:18" x14ac:dyDescent="0.25">
      <c r="A42" s="76">
        <f t="shared" si="1"/>
        <v>16.818181818181817</v>
      </c>
      <c r="B42" s="77">
        <v>37</v>
      </c>
      <c r="C42" s="78">
        <v>10.35</v>
      </c>
      <c r="D42" s="78">
        <v>14.2</v>
      </c>
      <c r="E42" s="78">
        <v>15.07</v>
      </c>
      <c r="F42" s="78">
        <v>16.64</v>
      </c>
      <c r="G42" s="78">
        <v>17.59</v>
      </c>
      <c r="H42" s="78">
        <v>18.88</v>
      </c>
      <c r="I42" s="79">
        <v>24.68</v>
      </c>
      <c r="J42" s="79">
        <v>27.76</v>
      </c>
      <c r="K42" s="79">
        <v>18.559999999999999</v>
      </c>
      <c r="L42" s="79">
        <v>19.079999999999998</v>
      </c>
      <c r="M42" s="79">
        <v>22.35</v>
      </c>
      <c r="N42" s="79">
        <v>22.45</v>
      </c>
      <c r="O42" s="79">
        <v>26.26</v>
      </c>
      <c r="P42" s="79">
        <v>30.4</v>
      </c>
      <c r="Q42" s="79">
        <v>31.93</v>
      </c>
      <c r="R42" s="79">
        <v>32.82</v>
      </c>
    </row>
    <row r="43" spans="1:18" x14ac:dyDescent="0.25">
      <c r="A43" s="76">
        <f t="shared" si="1"/>
        <v>17.27272727272727</v>
      </c>
      <c r="B43" s="77">
        <v>38</v>
      </c>
      <c r="C43" s="78">
        <v>10.45</v>
      </c>
      <c r="D43" s="78">
        <v>14.48</v>
      </c>
      <c r="E43" s="78">
        <v>15.27</v>
      </c>
      <c r="F43" s="78">
        <v>16.86</v>
      </c>
      <c r="G43" s="78">
        <v>17.920000000000002</v>
      </c>
      <c r="H43" s="78">
        <v>19.2</v>
      </c>
      <c r="I43" s="79">
        <v>24.98</v>
      </c>
      <c r="J43" s="79">
        <v>28.16</v>
      </c>
      <c r="K43" s="79">
        <v>18.86</v>
      </c>
      <c r="L43" s="79">
        <v>19.3</v>
      </c>
      <c r="M43" s="79">
        <v>22.57</v>
      </c>
      <c r="N43" s="79">
        <v>22.67</v>
      </c>
      <c r="O43" s="79">
        <v>26.58</v>
      </c>
      <c r="P43" s="79">
        <v>30.77</v>
      </c>
      <c r="Q43" s="79">
        <v>32.299999999999997</v>
      </c>
      <c r="R43" s="79">
        <v>33.15</v>
      </c>
    </row>
    <row r="44" spans="1:18" x14ac:dyDescent="0.25">
      <c r="A44" s="76">
        <f t="shared" si="1"/>
        <v>17.727272727272727</v>
      </c>
      <c r="B44" s="77">
        <v>39</v>
      </c>
      <c r="C44" s="78">
        <v>10.55</v>
      </c>
      <c r="D44" s="78">
        <v>14.72</v>
      </c>
      <c r="E44" s="78">
        <v>15.46</v>
      </c>
      <c r="F44" s="78">
        <v>17.11</v>
      </c>
      <c r="G44" s="78">
        <v>18.11</v>
      </c>
      <c r="H44" s="78">
        <v>19.47</v>
      </c>
      <c r="I44" s="79">
        <v>25.31</v>
      </c>
      <c r="J44" s="79">
        <v>28.53</v>
      </c>
      <c r="K44" s="79">
        <v>19.09</v>
      </c>
      <c r="L44" s="79">
        <v>19.579999999999998</v>
      </c>
      <c r="M44" s="79">
        <v>22.82</v>
      </c>
      <c r="N44" s="79">
        <v>22.92</v>
      </c>
      <c r="O44" s="79">
        <v>26.91</v>
      </c>
      <c r="P44" s="79">
        <v>31.13</v>
      </c>
      <c r="Q44" s="79">
        <v>32.630000000000003</v>
      </c>
      <c r="R44" s="79">
        <v>33.54</v>
      </c>
    </row>
    <row r="45" spans="1:18" x14ac:dyDescent="0.25">
      <c r="A45" s="76">
        <f t="shared" si="1"/>
        <v>18.18181818181818</v>
      </c>
      <c r="B45" s="77">
        <v>40</v>
      </c>
      <c r="C45" s="78">
        <v>10.65</v>
      </c>
      <c r="D45" s="78">
        <v>14.97</v>
      </c>
      <c r="E45" s="78">
        <v>15.69</v>
      </c>
      <c r="F45" s="78">
        <v>17.36</v>
      </c>
      <c r="G45" s="78">
        <v>18.399999999999999</v>
      </c>
      <c r="H45" s="78">
        <v>19.71</v>
      </c>
      <c r="I45" s="79">
        <v>25.64</v>
      </c>
      <c r="J45" s="79">
        <v>28.89</v>
      </c>
      <c r="K45" s="79">
        <v>19.28</v>
      </c>
      <c r="L45" s="79">
        <v>19.78</v>
      </c>
      <c r="M45" s="79">
        <v>23.26</v>
      </c>
      <c r="N45" s="79">
        <v>23.36</v>
      </c>
      <c r="O45" s="79">
        <v>27.2</v>
      </c>
      <c r="P45" s="79">
        <v>31.42</v>
      </c>
      <c r="Q45" s="79">
        <v>33.03</v>
      </c>
      <c r="R45" s="79">
        <v>33.92</v>
      </c>
    </row>
    <row r="46" spans="1:18" x14ac:dyDescent="0.25">
      <c r="A46" s="76">
        <f t="shared" si="1"/>
        <v>18.636363636363633</v>
      </c>
      <c r="B46" s="77">
        <v>41</v>
      </c>
      <c r="C46" s="78">
        <v>10.75</v>
      </c>
      <c r="D46" s="78">
        <v>15.21</v>
      </c>
      <c r="E46" s="78">
        <v>15.93</v>
      </c>
      <c r="F46" s="78">
        <v>17.88</v>
      </c>
      <c r="G46" s="78">
        <v>18.899999999999999</v>
      </c>
      <c r="H46" s="78">
        <v>20.29</v>
      </c>
      <c r="I46" s="79">
        <v>26.35</v>
      </c>
      <c r="J46" s="79">
        <v>29.62</v>
      </c>
      <c r="K46" s="79">
        <v>19.82</v>
      </c>
      <c r="L46" s="79">
        <v>20.29</v>
      </c>
      <c r="M46" s="79">
        <v>23.67</v>
      </c>
      <c r="N46" s="79">
        <v>23.77</v>
      </c>
      <c r="O46" s="79">
        <v>27.78</v>
      </c>
      <c r="P46" s="79">
        <v>32.26</v>
      </c>
      <c r="Q46" s="79">
        <v>33.85</v>
      </c>
      <c r="R46" s="79">
        <v>34.729999999999997</v>
      </c>
    </row>
    <row r="47" spans="1:18" x14ac:dyDescent="0.25">
      <c r="A47" s="76">
        <f t="shared" si="1"/>
        <v>19.09090909090909</v>
      </c>
      <c r="B47" s="77">
        <v>42</v>
      </c>
      <c r="C47" s="78">
        <v>10.85</v>
      </c>
      <c r="D47" s="78">
        <v>15.4</v>
      </c>
      <c r="E47" s="78">
        <v>16.13</v>
      </c>
      <c r="F47" s="78">
        <v>18.13</v>
      </c>
      <c r="G47" s="78">
        <v>19.2</v>
      </c>
      <c r="H47" s="78">
        <v>20.52</v>
      </c>
      <c r="I47" s="79">
        <v>26.69</v>
      </c>
      <c r="J47" s="79">
        <v>30</v>
      </c>
      <c r="K47" s="79">
        <v>19.98</v>
      </c>
      <c r="L47" s="79">
        <v>20.51</v>
      </c>
      <c r="M47" s="79">
        <v>23.94</v>
      </c>
      <c r="N47" s="79">
        <v>24.04</v>
      </c>
      <c r="O47" s="79">
        <v>28.06</v>
      </c>
      <c r="P47" s="79">
        <v>32.590000000000003</v>
      </c>
      <c r="Q47" s="79">
        <v>34.17</v>
      </c>
      <c r="R47" s="79">
        <v>35.1</v>
      </c>
    </row>
    <row r="48" spans="1:18" x14ac:dyDescent="0.25">
      <c r="A48" s="76">
        <f t="shared" si="1"/>
        <v>19.545454545454543</v>
      </c>
      <c r="B48" s="77">
        <v>43</v>
      </c>
      <c r="C48" s="78">
        <v>10.95</v>
      </c>
      <c r="D48" s="78">
        <v>15.67</v>
      </c>
      <c r="E48" s="78">
        <v>16.38</v>
      </c>
      <c r="F48" s="78">
        <v>18.37</v>
      </c>
      <c r="G48" s="78">
        <v>19.46</v>
      </c>
      <c r="H48" s="78">
        <v>20.82</v>
      </c>
      <c r="I48" s="79">
        <v>27.02</v>
      </c>
      <c r="J48" s="79">
        <v>30.37</v>
      </c>
      <c r="K48" s="79">
        <v>20.27</v>
      </c>
      <c r="L48" s="79">
        <v>20.79</v>
      </c>
      <c r="M48" s="79">
        <v>24.19</v>
      </c>
      <c r="N48" s="79">
        <v>24.29</v>
      </c>
      <c r="O48" s="79">
        <v>28.33</v>
      </c>
      <c r="P48" s="79">
        <v>32.950000000000003</v>
      </c>
      <c r="Q48" s="79">
        <v>34.54</v>
      </c>
      <c r="R48" s="79">
        <v>35.450000000000003</v>
      </c>
    </row>
    <row r="49" spans="1:18" x14ac:dyDescent="0.25">
      <c r="A49" s="76">
        <f t="shared" si="1"/>
        <v>20</v>
      </c>
      <c r="B49" s="77">
        <v>44</v>
      </c>
      <c r="C49" s="78">
        <v>11.05</v>
      </c>
      <c r="D49" s="78">
        <v>15.84</v>
      </c>
      <c r="E49" s="78">
        <v>16.53</v>
      </c>
      <c r="F49" s="78">
        <v>18.61</v>
      </c>
      <c r="G49" s="78">
        <v>19.75</v>
      </c>
      <c r="H49" s="78">
        <v>21.11</v>
      </c>
      <c r="I49" s="79">
        <v>27.4</v>
      </c>
      <c r="J49" s="79">
        <v>30.72</v>
      </c>
      <c r="K49" s="79">
        <v>20.49</v>
      </c>
      <c r="L49" s="79">
        <v>21.01</v>
      </c>
      <c r="M49" s="79">
        <v>24.43</v>
      </c>
      <c r="N49" s="79">
        <v>24.53</v>
      </c>
      <c r="O49" s="79">
        <v>28.67</v>
      </c>
      <c r="P49" s="79">
        <v>33.28</v>
      </c>
      <c r="Q49" s="79">
        <v>34.83</v>
      </c>
      <c r="R49" s="79">
        <v>35.76</v>
      </c>
    </row>
    <row r="50" spans="1:18" x14ac:dyDescent="0.25">
      <c r="A50" s="76">
        <f t="shared" si="1"/>
        <v>20.454545454545453</v>
      </c>
      <c r="B50" s="77">
        <v>45</v>
      </c>
      <c r="C50" s="78">
        <v>11.15</v>
      </c>
      <c r="D50" s="78">
        <v>16.13</v>
      </c>
      <c r="E50" s="78">
        <v>16.8</v>
      </c>
      <c r="F50" s="78">
        <v>18.89</v>
      </c>
      <c r="G50" s="78">
        <v>19.989999999999998</v>
      </c>
      <c r="H50" s="78">
        <v>21.38</v>
      </c>
      <c r="I50" s="79">
        <v>27.75</v>
      </c>
      <c r="J50" s="79">
        <v>31.06</v>
      </c>
      <c r="K50" s="79">
        <v>20.69</v>
      </c>
      <c r="L50" s="79">
        <v>21.2</v>
      </c>
      <c r="M50" s="79">
        <v>24.66</v>
      </c>
      <c r="N50" s="79">
        <v>24.76</v>
      </c>
      <c r="O50" s="79">
        <v>28.97</v>
      </c>
      <c r="P50" s="79">
        <v>33.61</v>
      </c>
      <c r="Q50" s="79">
        <v>35.17</v>
      </c>
      <c r="R50" s="79">
        <v>36.090000000000003</v>
      </c>
    </row>
    <row r="51" spans="1:18" x14ac:dyDescent="0.25">
      <c r="A51" s="76">
        <f t="shared" si="1"/>
        <v>20.909090909090907</v>
      </c>
      <c r="B51" s="77">
        <v>46</v>
      </c>
      <c r="C51" s="78">
        <v>11.25</v>
      </c>
      <c r="D51" s="78">
        <v>16.37</v>
      </c>
      <c r="E51" s="78">
        <v>17.05</v>
      </c>
      <c r="F51" s="78">
        <v>19.170000000000002</v>
      </c>
      <c r="G51" s="78">
        <v>20.260000000000002</v>
      </c>
      <c r="H51" s="78">
        <v>21.63</v>
      </c>
      <c r="I51" s="79">
        <v>28.08</v>
      </c>
      <c r="J51" s="79">
        <v>31.41</v>
      </c>
      <c r="K51" s="79">
        <v>20.92</v>
      </c>
      <c r="L51" s="79">
        <v>21.47</v>
      </c>
      <c r="M51" s="79">
        <v>24.86</v>
      </c>
      <c r="N51" s="79">
        <v>24.96</v>
      </c>
      <c r="O51" s="79">
        <v>29.22</v>
      </c>
      <c r="P51" s="79">
        <v>33.869999999999997</v>
      </c>
      <c r="Q51" s="79">
        <v>35.520000000000003</v>
      </c>
      <c r="R51" s="79">
        <v>36.44</v>
      </c>
    </row>
    <row r="52" spans="1:18" x14ac:dyDescent="0.25">
      <c r="A52" s="76">
        <f t="shared" si="1"/>
        <v>21.363636363636363</v>
      </c>
      <c r="B52" s="77">
        <v>47</v>
      </c>
      <c r="C52" s="78">
        <v>11.35</v>
      </c>
      <c r="D52" s="78">
        <v>16.61</v>
      </c>
      <c r="E52" s="78">
        <v>17.329999999999998</v>
      </c>
      <c r="F52" s="78">
        <v>19.41</v>
      </c>
      <c r="G52" s="78">
        <v>20.57</v>
      </c>
      <c r="H52" s="78">
        <v>21.95</v>
      </c>
      <c r="I52" s="79">
        <v>28.42</v>
      </c>
      <c r="J52" s="79">
        <v>31.78</v>
      </c>
      <c r="K52" s="79">
        <v>21.18</v>
      </c>
      <c r="L52" s="79">
        <v>21.72</v>
      </c>
      <c r="M52" s="79">
        <v>25.1</v>
      </c>
      <c r="N52" s="79">
        <v>25.2</v>
      </c>
      <c r="O52" s="79">
        <v>29.52</v>
      </c>
      <c r="P52" s="79">
        <v>34.22</v>
      </c>
      <c r="Q52" s="79">
        <v>35.78</v>
      </c>
      <c r="R52" s="79">
        <v>36.74</v>
      </c>
    </row>
    <row r="53" spans="1:18" x14ac:dyDescent="0.25">
      <c r="A53" s="76">
        <f t="shared" si="1"/>
        <v>21.818181818181817</v>
      </c>
      <c r="B53" s="77">
        <v>48</v>
      </c>
      <c r="C53" s="78">
        <v>11.45</v>
      </c>
      <c r="D53" s="78">
        <v>16.809999999999999</v>
      </c>
      <c r="E53" s="78">
        <v>17.579999999999998</v>
      </c>
      <c r="F53" s="78">
        <v>19.670000000000002</v>
      </c>
      <c r="G53" s="78">
        <v>20.86</v>
      </c>
      <c r="H53" s="78">
        <v>22.2</v>
      </c>
      <c r="I53" s="79">
        <v>28.75</v>
      </c>
      <c r="J53" s="79">
        <v>32.119999999999997</v>
      </c>
      <c r="K53" s="79">
        <v>21.4</v>
      </c>
      <c r="L53" s="79">
        <v>21.97</v>
      </c>
      <c r="M53" s="79">
        <v>25.22</v>
      </c>
      <c r="N53" s="79">
        <v>25.32</v>
      </c>
      <c r="O53" s="79">
        <v>29.8</v>
      </c>
      <c r="P53" s="79">
        <v>34.49</v>
      </c>
      <c r="Q53" s="79">
        <v>36.11</v>
      </c>
      <c r="R53" s="79">
        <v>37.06</v>
      </c>
    </row>
    <row r="54" spans="1:18" x14ac:dyDescent="0.25">
      <c r="A54" s="76">
        <f t="shared" si="1"/>
        <v>22.27272727272727</v>
      </c>
      <c r="B54" s="77">
        <v>49</v>
      </c>
      <c r="C54" s="78">
        <v>11.55</v>
      </c>
      <c r="D54" s="78">
        <v>17.07</v>
      </c>
      <c r="E54" s="78">
        <v>17.78</v>
      </c>
      <c r="F54" s="78">
        <v>19.93</v>
      </c>
      <c r="G54" s="78">
        <v>21.1</v>
      </c>
      <c r="H54" s="78">
        <v>22.53</v>
      </c>
      <c r="I54" s="79">
        <v>29.08</v>
      </c>
      <c r="J54" s="79">
        <v>32.549999999999997</v>
      </c>
      <c r="K54" s="79">
        <v>21.66</v>
      </c>
      <c r="L54" s="79">
        <v>22.2</v>
      </c>
      <c r="M54" s="79">
        <v>25.37</v>
      </c>
      <c r="N54" s="79">
        <v>25.47</v>
      </c>
      <c r="O54" s="79">
        <v>30.09</v>
      </c>
      <c r="P54" s="79">
        <v>34.799999999999997</v>
      </c>
      <c r="Q54" s="79">
        <v>36.42</v>
      </c>
      <c r="R54" s="79">
        <v>37.369999999999997</v>
      </c>
    </row>
    <row r="55" spans="1:18" x14ac:dyDescent="0.25">
      <c r="A55" s="76">
        <f t="shared" si="1"/>
        <v>22.727272727272727</v>
      </c>
      <c r="B55" s="77">
        <v>50</v>
      </c>
      <c r="C55" s="78">
        <v>11.65</v>
      </c>
      <c r="D55" s="78">
        <v>17.329999999999998</v>
      </c>
      <c r="E55" s="78">
        <v>18.04</v>
      </c>
      <c r="F55" s="78">
        <v>20.149999999999999</v>
      </c>
      <c r="G55" s="78">
        <v>21.36</v>
      </c>
      <c r="H55" s="78">
        <v>22.82</v>
      </c>
      <c r="I55" s="79">
        <v>29.43</v>
      </c>
      <c r="J55" s="79">
        <v>32.9</v>
      </c>
      <c r="K55" s="79">
        <v>22</v>
      </c>
      <c r="L55" s="79">
        <v>22.54</v>
      </c>
      <c r="M55" s="79">
        <v>25.57</v>
      </c>
      <c r="N55" s="79">
        <v>25.67</v>
      </c>
      <c r="O55" s="79">
        <v>30.5</v>
      </c>
      <c r="P55" s="79">
        <v>35.340000000000003</v>
      </c>
      <c r="Q55" s="79">
        <v>36.89</v>
      </c>
      <c r="R55" s="79">
        <v>37.81</v>
      </c>
    </row>
    <row r="56" spans="1:18" x14ac:dyDescent="0.25">
      <c r="A56" s="76">
        <f t="shared" si="1"/>
        <v>23.18181818181818</v>
      </c>
      <c r="B56" s="77">
        <v>51</v>
      </c>
      <c r="C56" s="78">
        <v>11.75</v>
      </c>
      <c r="D56" s="78">
        <v>17.579999999999998</v>
      </c>
      <c r="E56" s="78">
        <v>18.309999999999999</v>
      </c>
      <c r="F56" s="78">
        <v>21.04</v>
      </c>
      <c r="G56" s="78">
        <v>22.48</v>
      </c>
      <c r="H56" s="78">
        <v>24.07</v>
      </c>
      <c r="I56" s="79">
        <v>31.09</v>
      </c>
      <c r="J56" s="79">
        <v>34.619999999999997</v>
      </c>
      <c r="K56" s="79">
        <v>22.22</v>
      </c>
      <c r="L56" s="79">
        <v>22.77</v>
      </c>
      <c r="M56" s="79">
        <v>25.7</v>
      </c>
      <c r="N56" s="79">
        <v>25.8</v>
      </c>
      <c r="O56" s="79">
        <v>31.45</v>
      </c>
      <c r="P56" s="79">
        <v>36.270000000000003</v>
      </c>
      <c r="Q56" s="79">
        <v>37.840000000000003</v>
      </c>
      <c r="R56" s="79">
        <v>38.840000000000003</v>
      </c>
    </row>
    <row r="57" spans="1:18" x14ac:dyDescent="0.25">
      <c r="A57" s="76">
        <f t="shared" si="1"/>
        <v>23.636363636363633</v>
      </c>
      <c r="B57" s="77">
        <v>52</v>
      </c>
      <c r="C57" s="78">
        <v>11.85</v>
      </c>
      <c r="D57" s="78">
        <v>17.829999999999998</v>
      </c>
      <c r="E57" s="78">
        <v>18.579999999999998</v>
      </c>
      <c r="F57" s="78">
        <v>21.28</v>
      </c>
      <c r="G57" s="78">
        <v>22.75</v>
      </c>
      <c r="H57" s="78">
        <v>24.32</v>
      </c>
      <c r="I57" s="79">
        <v>31.38</v>
      </c>
      <c r="J57" s="79">
        <v>34.99</v>
      </c>
      <c r="K57" s="79">
        <v>22.43</v>
      </c>
      <c r="L57" s="79">
        <v>23.01</v>
      </c>
      <c r="M57" s="79">
        <v>25.85</v>
      </c>
      <c r="N57" s="79">
        <v>25.95</v>
      </c>
      <c r="O57" s="79">
        <v>31.65</v>
      </c>
      <c r="P57" s="79">
        <v>36.619999999999997</v>
      </c>
      <c r="Q57" s="79">
        <v>38.17</v>
      </c>
      <c r="R57" s="79">
        <v>39.15</v>
      </c>
    </row>
    <row r="58" spans="1:18" x14ac:dyDescent="0.25">
      <c r="A58" s="76">
        <f t="shared" si="1"/>
        <v>24.09090909090909</v>
      </c>
      <c r="B58" s="77">
        <v>53</v>
      </c>
      <c r="C58" s="78">
        <v>11.95</v>
      </c>
      <c r="D58" s="78">
        <v>17.98</v>
      </c>
      <c r="E58" s="78">
        <v>18.739999999999998</v>
      </c>
      <c r="F58" s="78">
        <v>21.53</v>
      </c>
      <c r="G58" s="78">
        <v>23.05</v>
      </c>
      <c r="H58" s="78">
        <v>24.65</v>
      </c>
      <c r="I58" s="79">
        <v>31.8</v>
      </c>
      <c r="J58" s="79">
        <v>35.409999999999997</v>
      </c>
      <c r="K58" s="79">
        <v>22.66</v>
      </c>
      <c r="L58" s="79">
        <v>23.23</v>
      </c>
      <c r="M58" s="79">
        <v>25.97</v>
      </c>
      <c r="N58" s="79">
        <v>26.07</v>
      </c>
      <c r="O58" s="79">
        <v>31.97</v>
      </c>
      <c r="P58" s="79">
        <v>36.86</v>
      </c>
      <c r="Q58" s="79">
        <v>38.42</v>
      </c>
      <c r="R58" s="79">
        <v>39.5</v>
      </c>
    </row>
    <row r="59" spans="1:18" x14ac:dyDescent="0.25">
      <c r="A59" s="76">
        <f t="shared" si="1"/>
        <v>24.545454545454543</v>
      </c>
      <c r="B59" s="77">
        <v>54</v>
      </c>
      <c r="C59" s="78">
        <v>12.05</v>
      </c>
      <c r="D59" s="78">
        <v>18.239999999999998</v>
      </c>
      <c r="E59" s="78">
        <v>19</v>
      </c>
      <c r="F59" s="78">
        <v>21.84</v>
      </c>
      <c r="G59" s="78">
        <v>23.33</v>
      </c>
      <c r="H59" s="78">
        <v>24.94</v>
      </c>
      <c r="I59" s="79">
        <v>32.15</v>
      </c>
      <c r="J59" s="79">
        <v>35.75</v>
      </c>
      <c r="K59" s="79">
        <v>22.89</v>
      </c>
      <c r="L59" s="79">
        <v>23.47</v>
      </c>
      <c r="M59" s="79">
        <v>26.17</v>
      </c>
      <c r="N59" s="79">
        <v>26.27</v>
      </c>
      <c r="O59" s="79">
        <v>32.24</v>
      </c>
      <c r="P59" s="79">
        <v>37.18</v>
      </c>
      <c r="Q59" s="79">
        <v>38.78</v>
      </c>
      <c r="R59" s="79">
        <v>39.78</v>
      </c>
    </row>
    <row r="60" spans="1:18" x14ac:dyDescent="0.25">
      <c r="A60" s="76">
        <f t="shared" si="1"/>
        <v>24.999999999999996</v>
      </c>
      <c r="B60" s="77">
        <v>55</v>
      </c>
      <c r="C60" s="78">
        <v>12.15</v>
      </c>
      <c r="D60" s="78">
        <v>18.52</v>
      </c>
      <c r="E60" s="78">
        <v>19.29</v>
      </c>
      <c r="F60" s="78">
        <v>22.07</v>
      </c>
      <c r="G60" s="78">
        <v>23.66</v>
      </c>
      <c r="H60" s="78">
        <v>25.22</v>
      </c>
      <c r="I60" s="79">
        <v>32.49</v>
      </c>
      <c r="J60" s="79">
        <v>36.119999999999997</v>
      </c>
      <c r="K60" s="79">
        <v>23.1</v>
      </c>
      <c r="L60" s="79">
        <v>23.7</v>
      </c>
      <c r="M60" s="79">
        <v>26.34</v>
      </c>
      <c r="N60" s="79">
        <v>26.44</v>
      </c>
      <c r="O60" s="79">
        <v>32.53</v>
      </c>
      <c r="P60" s="79">
        <v>37.54</v>
      </c>
      <c r="Q60" s="79">
        <v>39.04</v>
      </c>
      <c r="R60" s="79">
        <v>40.08</v>
      </c>
    </row>
    <row r="61" spans="1:18" x14ac:dyDescent="0.25">
      <c r="A61" s="76">
        <f t="shared" si="1"/>
        <v>25.454545454545453</v>
      </c>
      <c r="B61" s="77">
        <v>56</v>
      </c>
      <c r="C61" s="78">
        <v>12.25</v>
      </c>
      <c r="D61" s="78">
        <v>18.79</v>
      </c>
      <c r="E61" s="78">
        <v>19.57</v>
      </c>
      <c r="F61" s="78">
        <v>22.34</v>
      </c>
      <c r="G61" s="78">
        <v>23.89</v>
      </c>
      <c r="H61" s="78">
        <v>25.49</v>
      </c>
      <c r="I61" s="79">
        <v>32.86</v>
      </c>
      <c r="J61" s="79">
        <v>36.49</v>
      </c>
      <c r="K61" s="79">
        <v>23.34</v>
      </c>
      <c r="L61" s="79">
        <v>23.91</v>
      </c>
      <c r="M61" s="79">
        <v>26.47</v>
      </c>
      <c r="N61" s="79">
        <v>26.57</v>
      </c>
      <c r="O61" s="79">
        <v>32.840000000000003</v>
      </c>
      <c r="P61" s="79">
        <v>37.83</v>
      </c>
      <c r="Q61" s="79">
        <v>39.31</v>
      </c>
      <c r="R61" s="79">
        <v>40.380000000000003</v>
      </c>
    </row>
    <row r="62" spans="1:18" x14ac:dyDescent="0.25">
      <c r="A62" s="76">
        <f t="shared" si="1"/>
        <v>25.909090909090907</v>
      </c>
      <c r="B62" s="77">
        <v>57</v>
      </c>
      <c r="C62" s="78">
        <v>12.35</v>
      </c>
      <c r="D62" s="78">
        <v>18.97</v>
      </c>
      <c r="E62" s="78">
        <v>19.760000000000002</v>
      </c>
      <c r="F62" s="78">
        <v>22.59</v>
      </c>
      <c r="G62" s="78">
        <v>24.22</v>
      </c>
      <c r="H62" s="78">
        <v>25.85</v>
      </c>
      <c r="I62" s="79">
        <v>33.26</v>
      </c>
      <c r="J62" s="79">
        <v>36.85</v>
      </c>
      <c r="K62" s="79">
        <v>23.58</v>
      </c>
      <c r="L62" s="79">
        <v>24.16</v>
      </c>
      <c r="M62" s="79">
        <v>26.63</v>
      </c>
      <c r="N62" s="79">
        <v>26.73</v>
      </c>
      <c r="O62" s="79">
        <v>33.08</v>
      </c>
      <c r="P62" s="79">
        <v>38.049999999999997</v>
      </c>
      <c r="Q62" s="79">
        <v>39.6</v>
      </c>
      <c r="R62" s="79">
        <v>40.67</v>
      </c>
    </row>
    <row r="63" spans="1:18" x14ac:dyDescent="0.25">
      <c r="A63" s="76">
        <f t="shared" si="1"/>
        <v>26.36363636363636</v>
      </c>
      <c r="B63" s="77">
        <v>58</v>
      </c>
      <c r="C63" s="78">
        <v>12.45</v>
      </c>
      <c r="D63" s="78">
        <v>19.239999999999998</v>
      </c>
      <c r="E63" s="78">
        <v>20.05</v>
      </c>
      <c r="F63" s="78">
        <v>22.87</v>
      </c>
      <c r="G63" s="78">
        <v>24.49</v>
      </c>
      <c r="H63" s="78">
        <v>26.12</v>
      </c>
      <c r="I63" s="79">
        <v>33.630000000000003</v>
      </c>
      <c r="J63" s="79">
        <v>37.25</v>
      </c>
      <c r="K63" s="79">
        <v>23.78</v>
      </c>
      <c r="L63" s="79">
        <v>24.37</v>
      </c>
      <c r="M63" s="79">
        <v>26.8</v>
      </c>
      <c r="N63" s="79">
        <v>26.9</v>
      </c>
      <c r="O63" s="79">
        <v>33.33</v>
      </c>
      <c r="P63" s="79">
        <v>38.42</v>
      </c>
      <c r="Q63" s="79">
        <v>39.93</v>
      </c>
      <c r="R63" s="79">
        <v>40.93</v>
      </c>
    </row>
    <row r="64" spans="1:18" x14ac:dyDescent="0.25">
      <c r="A64" s="76">
        <f t="shared" si="1"/>
        <v>26.818181818181817</v>
      </c>
      <c r="B64" s="77">
        <v>59</v>
      </c>
      <c r="C64" s="78">
        <v>12.55</v>
      </c>
      <c r="D64" s="78">
        <v>19.47</v>
      </c>
      <c r="E64" s="78">
        <v>20.27</v>
      </c>
      <c r="F64" s="78">
        <v>23.16</v>
      </c>
      <c r="G64" s="78">
        <v>24.81</v>
      </c>
      <c r="H64" s="78">
        <v>26.39</v>
      </c>
      <c r="I64" s="79">
        <v>33.909999999999997</v>
      </c>
      <c r="J64" s="79">
        <v>37.590000000000003</v>
      </c>
      <c r="K64" s="79">
        <v>24.01</v>
      </c>
      <c r="L64" s="79">
        <v>24.62</v>
      </c>
      <c r="M64" s="79">
        <v>26.93</v>
      </c>
      <c r="N64" s="79">
        <v>27.03</v>
      </c>
      <c r="O64" s="79">
        <v>33.659999999999997</v>
      </c>
      <c r="P64" s="79">
        <v>38.71</v>
      </c>
      <c r="Q64" s="79">
        <v>40.11</v>
      </c>
      <c r="R64" s="79">
        <v>41.17</v>
      </c>
    </row>
    <row r="65" spans="1:18" x14ac:dyDescent="0.25">
      <c r="A65" s="76">
        <f t="shared" si="1"/>
        <v>27.27272727272727</v>
      </c>
      <c r="B65" s="77">
        <v>60</v>
      </c>
      <c r="C65" s="78">
        <v>12.65</v>
      </c>
      <c r="D65" s="78">
        <v>19.7</v>
      </c>
      <c r="E65" s="78">
        <v>20.52</v>
      </c>
      <c r="F65" s="78">
        <v>23.38</v>
      </c>
      <c r="G65" s="78">
        <v>25.05</v>
      </c>
      <c r="H65" s="78">
        <v>26.75</v>
      </c>
      <c r="I65" s="79">
        <v>34.35</v>
      </c>
      <c r="J65" s="79">
        <v>37.9</v>
      </c>
      <c r="K65" s="79">
        <v>24.27</v>
      </c>
      <c r="L65" s="79">
        <v>24.85</v>
      </c>
      <c r="M65" s="79">
        <v>27.14</v>
      </c>
      <c r="N65" s="79">
        <v>27.24</v>
      </c>
      <c r="O65" s="79">
        <v>33.96</v>
      </c>
      <c r="P65" s="79">
        <v>38.97</v>
      </c>
      <c r="Q65" s="79">
        <v>40.44</v>
      </c>
      <c r="R65" s="79">
        <v>41.44</v>
      </c>
    </row>
    <row r="66" spans="1:18" x14ac:dyDescent="0.25">
      <c r="A66" s="76">
        <f t="shared" si="1"/>
        <v>27.727272727272727</v>
      </c>
      <c r="B66" s="77">
        <v>61</v>
      </c>
      <c r="C66" s="78">
        <v>12.75</v>
      </c>
      <c r="D66" s="78">
        <v>19.93</v>
      </c>
      <c r="E66" s="78">
        <v>20.75</v>
      </c>
      <c r="F66" s="78">
        <v>23.67</v>
      </c>
      <c r="G66" s="78">
        <v>25.39</v>
      </c>
      <c r="H66" s="78">
        <v>27.03</v>
      </c>
      <c r="I66" s="79">
        <v>34.729999999999997</v>
      </c>
      <c r="J66" s="79">
        <v>38.28</v>
      </c>
      <c r="K66" s="79">
        <v>24.47</v>
      </c>
      <c r="L66" s="79">
        <v>25.06</v>
      </c>
      <c r="M66" s="79">
        <v>27.27</v>
      </c>
      <c r="N66" s="79">
        <v>27.37</v>
      </c>
      <c r="O66" s="79">
        <v>34.24</v>
      </c>
      <c r="P66" s="79">
        <v>39.28</v>
      </c>
      <c r="Q66" s="79">
        <v>40.69</v>
      </c>
      <c r="R66" s="79">
        <v>41.73</v>
      </c>
    </row>
    <row r="67" spans="1:18" x14ac:dyDescent="0.25">
      <c r="A67" s="76">
        <f t="shared" si="1"/>
        <v>28.18181818181818</v>
      </c>
      <c r="B67" s="77">
        <v>62</v>
      </c>
      <c r="C67" s="78">
        <v>12.85</v>
      </c>
      <c r="D67" s="78">
        <v>20.2</v>
      </c>
      <c r="E67" s="78">
        <v>21.05</v>
      </c>
      <c r="F67" s="78">
        <v>23.92</v>
      </c>
      <c r="G67" s="78">
        <v>25.63</v>
      </c>
      <c r="H67" s="78">
        <v>27.32</v>
      </c>
      <c r="I67" s="79">
        <v>35.04</v>
      </c>
      <c r="J67" s="79">
        <v>38.67</v>
      </c>
      <c r="K67" s="79">
        <v>24.7</v>
      </c>
      <c r="L67" s="79">
        <v>25.34</v>
      </c>
      <c r="M67" s="79">
        <v>27.42</v>
      </c>
      <c r="N67" s="79">
        <v>27.52</v>
      </c>
      <c r="O67" s="79">
        <v>34.53</v>
      </c>
      <c r="P67" s="79">
        <v>39.549999999999997</v>
      </c>
      <c r="Q67" s="79">
        <v>40.92</v>
      </c>
      <c r="R67" s="79">
        <v>41.98</v>
      </c>
    </row>
    <row r="68" spans="1:18" x14ac:dyDescent="0.25">
      <c r="A68" s="76">
        <f t="shared" si="1"/>
        <v>28.636363636363633</v>
      </c>
      <c r="B68" s="77">
        <v>63</v>
      </c>
      <c r="C68" s="78">
        <v>12.95</v>
      </c>
      <c r="D68" s="78">
        <v>20.420000000000002</v>
      </c>
      <c r="E68" s="78">
        <v>21.3</v>
      </c>
      <c r="F68" s="78">
        <v>24.24</v>
      </c>
      <c r="G68" s="78">
        <v>25.91</v>
      </c>
      <c r="H68" s="78">
        <v>27.66</v>
      </c>
      <c r="I68" s="79">
        <v>35.42</v>
      </c>
      <c r="J68" s="79">
        <v>39.049999999999997</v>
      </c>
      <c r="K68" s="79">
        <v>24.89</v>
      </c>
      <c r="L68" s="79">
        <v>25.51</v>
      </c>
      <c r="M68" s="79">
        <v>27.57</v>
      </c>
      <c r="N68" s="79">
        <v>27.67</v>
      </c>
      <c r="O68" s="79">
        <v>34.76</v>
      </c>
      <c r="P68" s="79">
        <v>39.89</v>
      </c>
      <c r="Q68" s="79">
        <v>41.25</v>
      </c>
      <c r="R68" s="79">
        <v>42.24</v>
      </c>
    </row>
    <row r="69" spans="1:18" x14ac:dyDescent="0.25">
      <c r="A69" s="76">
        <f t="shared" si="1"/>
        <v>29.09090909090909</v>
      </c>
      <c r="B69" s="77">
        <v>64</v>
      </c>
      <c r="C69" s="78">
        <v>13.05</v>
      </c>
      <c r="D69" s="78">
        <v>20.63</v>
      </c>
      <c r="E69" s="78">
        <v>21.56</v>
      </c>
      <c r="F69" s="78">
        <v>24.45</v>
      </c>
      <c r="G69" s="78">
        <v>26.21</v>
      </c>
      <c r="H69" s="78">
        <v>27.94</v>
      </c>
      <c r="I69" s="79">
        <v>35.81</v>
      </c>
      <c r="J69" s="79">
        <v>39.39</v>
      </c>
      <c r="K69" s="79">
        <v>25.1</v>
      </c>
      <c r="L69" s="79">
        <v>25.74</v>
      </c>
      <c r="M69" s="79">
        <v>27.76</v>
      </c>
      <c r="N69" s="79">
        <v>27.86</v>
      </c>
      <c r="O69" s="79">
        <v>35.06</v>
      </c>
      <c r="P69" s="79">
        <v>40.14</v>
      </c>
      <c r="Q69" s="79">
        <v>41.47</v>
      </c>
      <c r="R69" s="79">
        <v>42.52</v>
      </c>
    </row>
    <row r="70" spans="1:18" x14ac:dyDescent="0.25">
      <c r="A70" s="76">
        <f t="shared" ref="A70:A71" si="2">B70/2.2</f>
        <v>29.545454545454543</v>
      </c>
      <c r="B70" s="77">
        <v>65</v>
      </c>
      <c r="C70" s="78">
        <v>13.15</v>
      </c>
      <c r="D70" s="78">
        <v>20.88</v>
      </c>
      <c r="E70" s="78">
        <v>21.75</v>
      </c>
      <c r="F70" s="78">
        <v>24.78</v>
      </c>
      <c r="G70" s="78">
        <v>26.5</v>
      </c>
      <c r="H70" s="78">
        <v>28.22</v>
      </c>
      <c r="I70" s="79">
        <v>36.18</v>
      </c>
      <c r="J70" s="79">
        <v>39.72</v>
      </c>
      <c r="K70" s="79">
        <v>25.35</v>
      </c>
      <c r="L70" s="79">
        <v>25.99</v>
      </c>
      <c r="M70" s="79">
        <v>27.9</v>
      </c>
      <c r="N70" s="79">
        <v>28</v>
      </c>
      <c r="O70" s="79">
        <v>35.31</v>
      </c>
      <c r="P70" s="79">
        <v>40.4</v>
      </c>
      <c r="Q70" s="79">
        <v>41.7</v>
      </c>
      <c r="R70" s="79">
        <v>42.79</v>
      </c>
    </row>
    <row r="71" spans="1:18" x14ac:dyDescent="0.25">
      <c r="A71" s="76">
        <f t="shared" si="2"/>
        <v>29.999999999999996</v>
      </c>
      <c r="B71" s="77">
        <v>66</v>
      </c>
      <c r="C71" s="78">
        <v>13.25</v>
      </c>
      <c r="D71" s="78">
        <v>21.11</v>
      </c>
      <c r="E71" s="78">
        <v>22</v>
      </c>
      <c r="F71" s="78">
        <v>25.01</v>
      </c>
      <c r="G71" s="78">
        <v>26.73</v>
      </c>
      <c r="H71" s="78">
        <v>28.52</v>
      </c>
      <c r="I71" s="79">
        <v>36.51</v>
      </c>
      <c r="J71" s="79">
        <v>40.11</v>
      </c>
      <c r="K71" s="79">
        <v>25.57</v>
      </c>
      <c r="L71" s="79">
        <v>26.2</v>
      </c>
      <c r="M71" s="79">
        <v>28.05</v>
      </c>
      <c r="N71" s="79">
        <v>28.15</v>
      </c>
      <c r="O71" s="79">
        <v>35.64</v>
      </c>
      <c r="P71" s="79">
        <v>40.700000000000003</v>
      </c>
      <c r="Q71" s="79">
        <v>41.98</v>
      </c>
      <c r="R71" s="79">
        <v>43.02</v>
      </c>
    </row>
  </sheetData>
  <mergeCells count="5">
    <mergeCell ref="A4:B4"/>
    <mergeCell ref="C4:R4"/>
    <mergeCell ref="A1:K1"/>
    <mergeCell ref="L1:M1"/>
    <mergeCell ref="L2:M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28"/>
  <sheetViews>
    <sheetView showGridLines="0" tabSelected="1" workbookViewId="0">
      <selection activeCell="A4" sqref="A4"/>
    </sheetView>
  </sheetViews>
  <sheetFormatPr defaultRowHeight="15" x14ac:dyDescent="0.25"/>
  <cols>
    <col min="1" max="1" width="34.140625" style="53" customWidth="1"/>
    <col min="2" max="2" width="16.42578125" style="53" customWidth="1"/>
    <col min="3" max="3" width="25.5703125" style="53" bestFit="1" customWidth="1"/>
    <col min="4" max="4" width="42.85546875" style="53" customWidth="1"/>
    <col min="5" max="5" width="30.85546875" style="53" customWidth="1"/>
    <col min="6" max="6" width="9.140625" style="26" customWidth="1"/>
    <col min="7" max="7" width="18.140625" style="24" customWidth="1"/>
    <col min="8" max="9" width="9.140625" style="24" customWidth="1"/>
    <col min="10" max="10" width="11" style="24" customWidth="1"/>
    <col min="11" max="25" width="9.140625" style="24" customWidth="1"/>
    <col min="26" max="29" width="9.140625" style="25" customWidth="1"/>
    <col min="30" max="37" width="9.140625" style="26" customWidth="1"/>
    <col min="38" max="65" width="9.140625" style="26"/>
    <col min="66" max="16384" width="9.140625" style="27"/>
  </cols>
  <sheetData>
    <row r="1" spans="1:6" ht="21" x14ac:dyDescent="0.25">
      <c r="A1" s="81" t="s">
        <v>63</v>
      </c>
      <c r="B1" s="81"/>
      <c r="C1" s="81"/>
      <c r="D1" s="81"/>
      <c r="E1" s="81"/>
      <c r="F1" s="28"/>
    </row>
    <row r="2" spans="1:6" ht="13.9" customHeight="1" x14ac:dyDescent="0.25">
      <c r="A2" s="30"/>
      <c r="B2" s="29"/>
      <c r="C2" s="29"/>
      <c r="D2" s="29"/>
      <c r="E2" s="29"/>
      <c r="F2" s="31"/>
    </row>
    <row r="3" spans="1:6" ht="15" customHeight="1" x14ac:dyDescent="0.25">
      <c r="A3" s="32" t="s">
        <v>64</v>
      </c>
      <c r="B3" s="33"/>
      <c r="C3" s="33"/>
      <c r="D3" s="33"/>
      <c r="E3" s="34"/>
    </row>
    <row r="4" spans="1:6" ht="15" customHeight="1" x14ac:dyDescent="0.25">
      <c r="A4" s="61" t="s">
        <v>65</v>
      </c>
      <c r="B4" s="61" t="s">
        <v>66</v>
      </c>
      <c r="C4" s="62" t="s">
        <v>201</v>
      </c>
      <c r="D4" s="87" t="s">
        <v>67</v>
      </c>
      <c r="E4" s="87"/>
      <c r="F4" s="23"/>
    </row>
    <row r="5" spans="1:6" ht="44.25" customHeight="1" x14ac:dyDescent="0.25">
      <c r="A5" s="35" t="s">
        <v>68</v>
      </c>
      <c r="B5" s="35" t="s">
        <v>69</v>
      </c>
      <c r="C5" s="36">
        <v>14</v>
      </c>
      <c r="D5" s="88" t="s">
        <v>70</v>
      </c>
      <c r="E5" s="88"/>
    </row>
    <row r="6" spans="1:6" ht="54" customHeight="1" x14ac:dyDescent="0.25">
      <c r="A6" s="35" t="s">
        <v>71</v>
      </c>
      <c r="B6" s="35" t="s">
        <v>69</v>
      </c>
      <c r="C6" s="36">
        <v>13</v>
      </c>
      <c r="D6" s="88" t="s">
        <v>72</v>
      </c>
      <c r="E6" s="89"/>
    </row>
    <row r="7" spans="1:6" ht="43.5" customHeight="1" x14ac:dyDescent="0.25">
      <c r="A7" s="35" t="s">
        <v>73</v>
      </c>
      <c r="B7" s="35" t="s">
        <v>69</v>
      </c>
      <c r="C7" s="36">
        <v>8</v>
      </c>
      <c r="D7" s="90" t="s">
        <v>74</v>
      </c>
      <c r="E7" s="91"/>
    </row>
    <row r="8" spans="1:6" ht="54" customHeight="1" x14ac:dyDescent="0.25">
      <c r="A8" s="35" t="s">
        <v>75</v>
      </c>
      <c r="B8" s="35" t="s">
        <v>69</v>
      </c>
      <c r="C8" s="36">
        <v>4.4000000000000004</v>
      </c>
      <c r="D8" s="90" t="s">
        <v>76</v>
      </c>
      <c r="E8" s="90"/>
    </row>
    <row r="9" spans="1:6" ht="48" customHeight="1" x14ac:dyDescent="0.25">
      <c r="A9" s="35" t="s">
        <v>77</v>
      </c>
      <c r="B9" s="35" t="s">
        <v>69</v>
      </c>
      <c r="C9" s="36">
        <v>2.8000000000000003</v>
      </c>
      <c r="D9" s="88" t="s">
        <v>78</v>
      </c>
      <c r="E9" s="92"/>
    </row>
    <row r="10" spans="1:6" ht="71.25" customHeight="1" x14ac:dyDescent="0.25">
      <c r="A10" s="35" t="s">
        <v>79</v>
      </c>
      <c r="B10" s="35" t="s">
        <v>69</v>
      </c>
      <c r="C10" s="36">
        <v>2.8000000000000003</v>
      </c>
      <c r="D10" s="88" t="s">
        <v>80</v>
      </c>
      <c r="E10" s="92"/>
    </row>
    <row r="11" spans="1:6" ht="81.75" customHeight="1" x14ac:dyDescent="0.25">
      <c r="A11" s="35" t="s">
        <v>81</v>
      </c>
      <c r="B11" s="35" t="s">
        <v>69</v>
      </c>
      <c r="C11" s="36">
        <v>2.8000000000000003</v>
      </c>
      <c r="D11" s="88" t="s">
        <v>82</v>
      </c>
      <c r="E11" s="88"/>
    </row>
    <row r="12" spans="1:6" ht="72" customHeight="1" x14ac:dyDescent="0.25">
      <c r="A12" s="35" t="s">
        <v>83</v>
      </c>
      <c r="B12" s="35" t="s">
        <v>69</v>
      </c>
      <c r="C12" s="37" t="s">
        <v>84</v>
      </c>
      <c r="D12" s="88" t="s">
        <v>85</v>
      </c>
      <c r="E12" s="88"/>
    </row>
    <row r="13" spans="1:6" ht="37.5" customHeight="1" x14ac:dyDescent="0.25">
      <c r="A13" s="39" t="s">
        <v>86</v>
      </c>
      <c r="B13" s="39" t="s">
        <v>87</v>
      </c>
      <c r="C13" s="36">
        <v>6.6</v>
      </c>
      <c r="D13" s="86" t="s">
        <v>88</v>
      </c>
      <c r="E13" s="86"/>
    </row>
    <row r="14" spans="1:6" ht="50.25" customHeight="1" x14ac:dyDescent="0.25">
      <c r="A14" s="39" t="s">
        <v>89</v>
      </c>
      <c r="B14" s="39" t="s">
        <v>90</v>
      </c>
      <c r="C14" s="63" t="s">
        <v>91</v>
      </c>
      <c r="D14" s="86" t="s">
        <v>92</v>
      </c>
      <c r="E14" s="86"/>
    </row>
    <row r="15" spans="1:6" ht="42" customHeight="1" x14ac:dyDescent="0.25">
      <c r="A15" s="39" t="s">
        <v>93</v>
      </c>
      <c r="B15" s="39" t="s">
        <v>94</v>
      </c>
      <c r="C15" s="38" t="s">
        <v>91</v>
      </c>
      <c r="D15" s="86" t="s">
        <v>95</v>
      </c>
      <c r="E15" s="86"/>
    </row>
    <row r="16" spans="1:6" ht="107.25" customHeight="1" x14ac:dyDescent="0.25">
      <c r="A16" s="39" t="s">
        <v>96</v>
      </c>
      <c r="B16" s="39" t="s">
        <v>69</v>
      </c>
      <c r="C16" s="36">
        <v>9</v>
      </c>
      <c r="D16" s="94" t="s">
        <v>97</v>
      </c>
      <c r="E16" s="94"/>
    </row>
    <row r="17" spans="1:5" ht="37.5" customHeight="1" x14ac:dyDescent="0.25">
      <c r="A17" s="39" t="s">
        <v>98</v>
      </c>
      <c r="B17" s="39" t="s">
        <v>69</v>
      </c>
      <c r="C17" s="64" t="s">
        <v>84</v>
      </c>
      <c r="D17" s="94" t="s">
        <v>99</v>
      </c>
      <c r="E17" s="94"/>
    </row>
    <row r="18" spans="1:5" ht="71.25" customHeight="1" x14ac:dyDescent="0.25">
      <c r="A18" s="39" t="s">
        <v>100</v>
      </c>
      <c r="B18" s="39" t="s">
        <v>101</v>
      </c>
      <c r="C18" s="40" t="s">
        <v>84</v>
      </c>
      <c r="D18" s="94" t="s">
        <v>102</v>
      </c>
      <c r="E18" s="94"/>
    </row>
    <row r="19" spans="1:5" ht="42" customHeight="1" x14ac:dyDescent="0.25">
      <c r="A19" s="39" t="s">
        <v>103</v>
      </c>
      <c r="B19" s="39" t="s">
        <v>69</v>
      </c>
      <c r="C19" s="40" t="s">
        <v>91</v>
      </c>
      <c r="D19" s="86" t="s">
        <v>104</v>
      </c>
      <c r="E19" s="86"/>
    </row>
    <row r="20" spans="1:5" ht="63.75" customHeight="1" x14ac:dyDescent="0.25">
      <c r="A20" s="39" t="s">
        <v>105</v>
      </c>
      <c r="B20" s="39" t="s">
        <v>106</v>
      </c>
      <c r="C20" s="40" t="s">
        <v>91</v>
      </c>
      <c r="D20" s="95" t="s">
        <v>107</v>
      </c>
      <c r="E20" s="95"/>
    </row>
    <row r="21" spans="1:5" ht="93.75" customHeight="1" x14ac:dyDescent="0.25">
      <c r="A21" s="39" t="s">
        <v>108</v>
      </c>
      <c r="B21" s="39" t="s">
        <v>87</v>
      </c>
      <c r="C21" s="36">
        <v>31</v>
      </c>
      <c r="D21" s="93" t="s">
        <v>109</v>
      </c>
      <c r="E21" s="93"/>
    </row>
    <row r="22" spans="1:5" ht="93.75" customHeight="1" x14ac:dyDescent="0.25">
      <c r="A22" s="39" t="s">
        <v>110</v>
      </c>
      <c r="B22" s="39" t="s">
        <v>87</v>
      </c>
      <c r="C22" s="36">
        <v>4.4000000000000004</v>
      </c>
      <c r="D22" s="93" t="s">
        <v>111</v>
      </c>
      <c r="E22" s="93"/>
    </row>
    <row r="23" spans="1:5" ht="93.75" customHeight="1" x14ac:dyDescent="0.25">
      <c r="A23" s="39" t="s">
        <v>112</v>
      </c>
      <c r="B23" s="39" t="s">
        <v>87</v>
      </c>
      <c r="C23" s="36">
        <v>4.4000000000000004</v>
      </c>
      <c r="D23" s="93" t="s">
        <v>113</v>
      </c>
      <c r="E23" s="93"/>
    </row>
    <row r="24" spans="1:5" ht="93.75" customHeight="1" x14ac:dyDescent="0.25">
      <c r="A24" s="39" t="s">
        <v>114</v>
      </c>
      <c r="B24" s="39" t="s">
        <v>87</v>
      </c>
      <c r="C24" s="36">
        <v>13</v>
      </c>
      <c r="D24" s="93" t="s">
        <v>115</v>
      </c>
      <c r="E24" s="93"/>
    </row>
    <row r="25" spans="1:5" ht="93.75" customHeight="1" x14ac:dyDescent="0.25">
      <c r="A25" s="39" t="s">
        <v>116</v>
      </c>
      <c r="B25" s="39" t="s">
        <v>87</v>
      </c>
      <c r="C25" s="36">
        <v>5</v>
      </c>
      <c r="D25" s="93" t="s">
        <v>117</v>
      </c>
      <c r="E25" s="93"/>
    </row>
    <row r="26" spans="1:5" ht="108.75" customHeight="1" x14ac:dyDescent="0.25">
      <c r="A26" s="39" t="s">
        <v>118</v>
      </c>
      <c r="B26" s="39" t="s">
        <v>69</v>
      </c>
      <c r="C26" s="65" t="s">
        <v>119</v>
      </c>
      <c r="D26" s="93" t="s">
        <v>120</v>
      </c>
      <c r="E26" s="93"/>
    </row>
    <row r="27" spans="1:5" ht="50.25" customHeight="1" x14ac:dyDescent="0.25">
      <c r="A27" s="66" t="s">
        <v>121</v>
      </c>
      <c r="B27" s="39" t="s">
        <v>122</v>
      </c>
      <c r="C27" s="67" t="s">
        <v>91</v>
      </c>
      <c r="D27" s="93" t="s">
        <v>123</v>
      </c>
      <c r="E27" s="93"/>
    </row>
    <row r="28" spans="1:5" ht="50.25" customHeight="1" x14ac:dyDescent="0.25">
      <c r="A28" s="66" t="s">
        <v>124</v>
      </c>
      <c r="B28" s="39" t="s">
        <v>94</v>
      </c>
      <c r="C28" s="67" t="s">
        <v>91</v>
      </c>
      <c r="D28" s="95" t="s">
        <v>125</v>
      </c>
      <c r="E28" s="95"/>
    </row>
    <row r="29" spans="1:5" ht="50.25" customHeight="1" x14ac:dyDescent="0.25">
      <c r="A29" s="39" t="s">
        <v>126</v>
      </c>
      <c r="B29" s="39" t="s">
        <v>127</v>
      </c>
      <c r="C29" s="36">
        <v>1.24</v>
      </c>
      <c r="D29" s="93" t="s">
        <v>128</v>
      </c>
      <c r="E29" s="93"/>
    </row>
    <row r="30" spans="1:5" ht="51.75" customHeight="1" x14ac:dyDescent="0.25">
      <c r="A30" s="39" t="s">
        <v>129</v>
      </c>
      <c r="B30" s="39" t="s">
        <v>69</v>
      </c>
      <c r="C30" s="36">
        <v>0.71</v>
      </c>
      <c r="D30" s="95" t="s">
        <v>130</v>
      </c>
      <c r="E30" s="95"/>
    </row>
    <row r="31" spans="1:5" ht="37.5" customHeight="1" x14ac:dyDescent="0.25">
      <c r="A31" s="39" t="s">
        <v>131</v>
      </c>
      <c r="B31" s="39" t="s">
        <v>69</v>
      </c>
      <c r="C31" s="36">
        <v>7</v>
      </c>
      <c r="D31" s="93" t="s">
        <v>132</v>
      </c>
      <c r="E31" s="93"/>
    </row>
    <row r="32" spans="1:5" ht="58.5" customHeight="1" x14ac:dyDescent="0.25">
      <c r="A32" s="39" t="s">
        <v>133</v>
      </c>
      <c r="B32" s="39" t="s">
        <v>69</v>
      </c>
      <c r="C32" s="68" t="s">
        <v>91</v>
      </c>
      <c r="D32" s="95" t="s">
        <v>134</v>
      </c>
      <c r="E32" s="95"/>
    </row>
    <row r="33" spans="1:5" ht="90" customHeight="1" x14ac:dyDescent="0.25">
      <c r="A33" s="39" t="s">
        <v>135</v>
      </c>
      <c r="B33" s="39" t="s">
        <v>69</v>
      </c>
      <c r="C33" s="69" t="s">
        <v>136</v>
      </c>
      <c r="D33" s="93" t="s">
        <v>137</v>
      </c>
      <c r="E33" s="93"/>
    </row>
    <row r="34" spans="1:5" ht="69.75" customHeight="1" x14ac:dyDescent="0.25">
      <c r="A34" s="39" t="s">
        <v>138</v>
      </c>
      <c r="B34" s="39" t="s">
        <v>69</v>
      </c>
      <c r="C34" s="36">
        <v>0</v>
      </c>
      <c r="D34" s="93" t="s">
        <v>139</v>
      </c>
      <c r="E34" s="93"/>
    </row>
    <row r="35" spans="1:5" ht="87" customHeight="1" x14ac:dyDescent="0.25">
      <c r="A35" s="39" t="s">
        <v>140</v>
      </c>
      <c r="B35" s="39" t="s">
        <v>87</v>
      </c>
      <c r="C35" s="36">
        <v>12</v>
      </c>
      <c r="D35" s="93" t="s">
        <v>141</v>
      </c>
      <c r="E35" s="93"/>
    </row>
    <row r="36" spans="1:5" ht="94.5" customHeight="1" x14ac:dyDescent="0.25">
      <c r="A36" s="39" t="s">
        <v>142</v>
      </c>
      <c r="B36" s="39" t="s">
        <v>87</v>
      </c>
      <c r="C36" s="36">
        <v>2.48</v>
      </c>
      <c r="D36" s="93" t="s">
        <v>143</v>
      </c>
      <c r="E36" s="93"/>
    </row>
    <row r="37" spans="1:5" ht="95.25" customHeight="1" x14ac:dyDescent="0.25">
      <c r="A37" s="39" t="s">
        <v>144</v>
      </c>
      <c r="B37" s="39" t="s">
        <v>87</v>
      </c>
      <c r="C37" s="36">
        <v>1.93</v>
      </c>
      <c r="D37" s="93" t="s">
        <v>145</v>
      </c>
      <c r="E37" s="93"/>
    </row>
    <row r="38" spans="1:5" ht="93.75" customHeight="1" x14ac:dyDescent="0.25">
      <c r="A38" s="39" t="s">
        <v>146</v>
      </c>
      <c r="B38" s="39" t="s">
        <v>69</v>
      </c>
      <c r="C38" s="36">
        <v>14</v>
      </c>
      <c r="D38" s="93" t="s">
        <v>147</v>
      </c>
      <c r="E38" s="93"/>
    </row>
    <row r="39" spans="1:5" ht="37.5" customHeight="1" x14ac:dyDescent="0.25">
      <c r="A39" s="39" t="s">
        <v>148</v>
      </c>
      <c r="B39" s="39" t="s">
        <v>149</v>
      </c>
      <c r="C39" s="36">
        <v>2.8000000000000003</v>
      </c>
      <c r="D39" s="95" t="s">
        <v>150</v>
      </c>
      <c r="E39" s="95"/>
    </row>
    <row r="40" spans="1:5" ht="37.5" customHeight="1" x14ac:dyDescent="0.25">
      <c r="A40" s="39" t="s">
        <v>151</v>
      </c>
      <c r="B40" s="39" t="s">
        <v>152</v>
      </c>
      <c r="C40" s="67" t="s">
        <v>84</v>
      </c>
      <c r="D40" s="93" t="s">
        <v>153</v>
      </c>
      <c r="E40" s="93"/>
    </row>
    <row r="41" spans="1:5" ht="37.5" customHeight="1" x14ac:dyDescent="0.25">
      <c r="A41" s="39" t="s">
        <v>154</v>
      </c>
      <c r="B41" s="39" t="s">
        <v>152</v>
      </c>
      <c r="C41" s="36">
        <v>22</v>
      </c>
      <c r="D41" s="93" t="s">
        <v>153</v>
      </c>
      <c r="E41" s="93"/>
    </row>
    <row r="42" spans="1:5" ht="37.5" customHeight="1" x14ac:dyDescent="0.25">
      <c r="A42" s="39" t="s">
        <v>155</v>
      </c>
      <c r="B42" s="39" t="s">
        <v>152</v>
      </c>
      <c r="C42" s="36">
        <v>44</v>
      </c>
      <c r="D42" s="93" t="s">
        <v>153</v>
      </c>
      <c r="E42" s="93"/>
    </row>
    <row r="43" spans="1:5" ht="103.5" customHeight="1" x14ac:dyDescent="0.25">
      <c r="A43" s="39" t="s">
        <v>156</v>
      </c>
      <c r="B43" s="39" t="s">
        <v>157</v>
      </c>
      <c r="C43" s="38" t="s">
        <v>84</v>
      </c>
      <c r="D43" s="95" t="s">
        <v>158</v>
      </c>
      <c r="E43" s="95"/>
    </row>
    <row r="44" spans="1:5" ht="128.25" customHeight="1" x14ac:dyDescent="0.25">
      <c r="A44" s="39" t="s">
        <v>159</v>
      </c>
      <c r="B44" s="39" t="s">
        <v>69</v>
      </c>
      <c r="C44" s="36">
        <v>1.92</v>
      </c>
      <c r="D44" s="93" t="s">
        <v>160</v>
      </c>
      <c r="E44" s="93"/>
    </row>
    <row r="45" spans="1:5" ht="51" customHeight="1" x14ac:dyDescent="0.25">
      <c r="A45" s="39" t="s">
        <v>161</v>
      </c>
      <c r="B45" s="39" t="s">
        <v>87</v>
      </c>
      <c r="C45" s="36">
        <v>1.1000000000000001</v>
      </c>
      <c r="D45" s="86" t="s">
        <v>162</v>
      </c>
      <c r="E45" s="86"/>
    </row>
    <row r="46" spans="1:5" ht="51" customHeight="1" x14ac:dyDescent="0.25">
      <c r="A46" s="39" t="s">
        <v>163</v>
      </c>
      <c r="B46" s="39" t="s">
        <v>87</v>
      </c>
      <c r="C46" s="36">
        <v>6</v>
      </c>
      <c r="D46" s="95" t="s">
        <v>164</v>
      </c>
      <c r="E46" s="95"/>
    </row>
    <row r="47" spans="1:5" ht="51" customHeight="1" x14ac:dyDescent="0.25">
      <c r="A47" s="39" t="s">
        <v>165</v>
      </c>
      <c r="B47" s="39" t="s">
        <v>87</v>
      </c>
      <c r="C47" s="36">
        <v>28</v>
      </c>
      <c r="D47" s="95" t="s">
        <v>166</v>
      </c>
      <c r="E47" s="95"/>
    </row>
    <row r="48" spans="1:5" ht="51" customHeight="1" x14ac:dyDescent="0.25">
      <c r="A48" s="39" t="s">
        <v>167</v>
      </c>
      <c r="B48" s="39" t="s">
        <v>87</v>
      </c>
      <c r="C48" s="36">
        <v>6</v>
      </c>
      <c r="D48" s="95" t="s">
        <v>168</v>
      </c>
      <c r="E48" s="95"/>
    </row>
    <row r="49" spans="1:6" ht="51" customHeight="1" x14ac:dyDescent="0.25">
      <c r="A49" s="39" t="s">
        <v>169</v>
      </c>
      <c r="B49" s="39" t="s">
        <v>87</v>
      </c>
      <c r="C49" s="36">
        <v>25</v>
      </c>
      <c r="D49" s="95" t="s">
        <v>170</v>
      </c>
      <c r="E49" s="95"/>
    </row>
    <row r="50" spans="1:6" ht="51" customHeight="1" x14ac:dyDescent="0.25">
      <c r="A50" s="39" t="s">
        <v>171</v>
      </c>
      <c r="B50" s="39" t="s">
        <v>87</v>
      </c>
      <c r="C50" s="36">
        <v>33</v>
      </c>
      <c r="D50" s="95" t="s">
        <v>172</v>
      </c>
      <c r="E50" s="95"/>
    </row>
    <row r="51" spans="1:6" ht="36" customHeight="1" x14ac:dyDescent="0.25">
      <c r="A51" s="39" t="s">
        <v>173</v>
      </c>
      <c r="B51" s="39" t="s">
        <v>69</v>
      </c>
      <c r="C51" s="68" t="s">
        <v>84</v>
      </c>
      <c r="D51" s="94" t="s">
        <v>174</v>
      </c>
      <c r="E51" s="94"/>
    </row>
    <row r="52" spans="1:6" ht="37.5" customHeight="1" x14ac:dyDescent="0.25">
      <c r="A52" s="41"/>
      <c r="B52" s="41"/>
      <c r="C52" s="41"/>
      <c r="D52" s="41"/>
      <c r="E52" s="41"/>
      <c r="F52" s="23"/>
    </row>
    <row r="53" spans="1:6" ht="100.5" customHeight="1" x14ac:dyDescent="0.25">
      <c r="A53" s="42" t="s">
        <v>175</v>
      </c>
      <c r="B53" s="43" t="s">
        <v>176</v>
      </c>
      <c r="C53" s="98"/>
      <c r="D53" s="98"/>
      <c r="E53" s="99"/>
      <c r="F53" s="23"/>
    </row>
    <row r="54" spans="1:6" x14ac:dyDescent="0.25">
      <c r="A54" s="44" t="s">
        <v>177</v>
      </c>
      <c r="B54" s="45" t="s">
        <v>178</v>
      </c>
      <c r="C54" s="100"/>
      <c r="D54" s="100"/>
      <c r="E54" s="100"/>
      <c r="F54" s="23"/>
    </row>
    <row r="55" spans="1:6" x14ac:dyDescent="0.25">
      <c r="A55" s="44" t="s">
        <v>179</v>
      </c>
      <c r="B55" s="45" t="s">
        <v>178</v>
      </c>
      <c r="C55" s="100"/>
      <c r="D55" s="100"/>
      <c r="E55" s="100"/>
      <c r="F55" s="23"/>
    </row>
    <row r="56" spans="1:6" x14ac:dyDescent="0.25">
      <c r="A56" s="41"/>
      <c r="B56" s="41"/>
      <c r="C56" s="41"/>
      <c r="D56" s="41"/>
      <c r="E56" s="41"/>
      <c r="F56" s="23"/>
    </row>
    <row r="57" spans="1:6" ht="31.5" customHeight="1" x14ac:dyDescent="0.25">
      <c r="A57" s="42" t="s">
        <v>180</v>
      </c>
      <c r="B57" s="46" t="s">
        <v>176</v>
      </c>
      <c r="C57" s="47"/>
      <c r="D57" s="47"/>
      <c r="E57" s="41"/>
      <c r="F57" s="23"/>
    </row>
    <row r="58" spans="1:6" ht="31.5" customHeight="1" x14ac:dyDescent="0.25">
      <c r="A58" s="48" t="s">
        <v>181</v>
      </c>
      <c r="B58" s="101" t="s">
        <v>182</v>
      </c>
      <c r="C58" s="102"/>
      <c r="D58" s="102"/>
      <c r="E58" s="103"/>
      <c r="F58" s="23"/>
    </row>
    <row r="59" spans="1:6" ht="26.25" customHeight="1" x14ac:dyDescent="0.25">
      <c r="A59" s="49"/>
      <c r="B59" s="58" t="s">
        <v>183</v>
      </c>
      <c r="C59" s="50"/>
      <c r="D59" s="51"/>
      <c r="E59" s="52"/>
      <c r="F59" s="23"/>
    </row>
    <row r="60" spans="1:6" ht="26.25" customHeight="1" x14ac:dyDescent="0.25">
      <c r="F60" s="23"/>
    </row>
    <row r="61" spans="1:6" ht="19.899999999999999" customHeight="1" x14ac:dyDescent="0.25">
      <c r="A61" s="96" t="s">
        <v>184</v>
      </c>
      <c r="B61" s="96"/>
      <c r="C61" s="96"/>
      <c r="D61" s="96"/>
      <c r="E61" s="96"/>
      <c r="F61" s="23"/>
    </row>
    <row r="62" spans="1:6" ht="24" customHeight="1" x14ac:dyDescent="0.25">
      <c r="F62" s="23"/>
    </row>
    <row r="63" spans="1:6" ht="22.15" customHeight="1" x14ac:dyDescent="0.25">
      <c r="F63" s="23"/>
    </row>
    <row r="64" spans="1:6" x14ac:dyDescent="0.25">
      <c r="F64" s="23"/>
    </row>
    <row r="65" spans="6:6" x14ac:dyDescent="0.25">
      <c r="F65" s="23"/>
    </row>
    <row r="66" spans="6:6" x14ac:dyDescent="0.25">
      <c r="F66" s="23"/>
    </row>
    <row r="67" spans="6:6" x14ac:dyDescent="0.25">
      <c r="F67" s="23"/>
    </row>
    <row r="68" spans="6:6" x14ac:dyDescent="0.25">
      <c r="F68" s="23"/>
    </row>
    <row r="69" spans="6:6" x14ac:dyDescent="0.25">
      <c r="F69" s="23"/>
    </row>
    <row r="70" spans="6:6" x14ac:dyDescent="0.25">
      <c r="F70" s="23"/>
    </row>
    <row r="71" spans="6:6" x14ac:dyDescent="0.25">
      <c r="F71" s="23"/>
    </row>
    <row r="72" spans="6:6" x14ac:dyDescent="0.25">
      <c r="F72" s="23"/>
    </row>
    <row r="73" spans="6:6" x14ac:dyDescent="0.25">
      <c r="F73" s="23"/>
    </row>
    <row r="74" spans="6:6" x14ac:dyDescent="0.25">
      <c r="F74" s="23"/>
    </row>
    <row r="75" spans="6:6" x14ac:dyDescent="0.25">
      <c r="F75" s="23"/>
    </row>
    <row r="76" spans="6:6" x14ac:dyDescent="0.25">
      <c r="F76" s="23"/>
    </row>
    <row r="77" spans="6:6" x14ac:dyDescent="0.25">
      <c r="F77" s="23"/>
    </row>
    <row r="78" spans="6:6" x14ac:dyDescent="0.25">
      <c r="F78" s="23"/>
    </row>
    <row r="79" spans="6:6" x14ac:dyDescent="0.25">
      <c r="F79" s="23"/>
    </row>
    <row r="80" spans="6:6" x14ac:dyDescent="0.25">
      <c r="F80" s="23"/>
    </row>
    <row r="81" spans="6:6" x14ac:dyDescent="0.25">
      <c r="F81" s="23"/>
    </row>
    <row r="82" spans="6:6" x14ac:dyDescent="0.25">
      <c r="F82" s="23"/>
    </row>
    <row r="83" spans="6:6" x14ac:dyDescent="0.25">
      <c r="F83" s="23"/>
    </row>
    <row r="84" spans="6:6" x14ac:dyDescent="0.25">
      <c r="F84" s="23"/>
    </row>
    <row r="85" spans="6:6" x14ac:dyDescent="0.25">
      <c r="F85" s="23"/>
    </row>
    <row r="86" spans="6:6" x14ac:dyDescent="0.25">
      <c r="F86" s="23"/>
    </row>
    <row r="87" spans="6:6" x14ac:dyDescent="0.25">
      <c r="F87" s="23"/>
    </row>
    <row r="88" spans="6:6" x14ac:dyDescent="0.25">
      <c r="F88" s="23"/>
    </row>
    <row r="89" spans="6:6" x14ac:dyDescent="0.25">
      <c r="F89" s="23"/>
    </row>
    <row r="90" spans="6:6" x14ac:dyDescent="0.25">
      <c r="F90" s="23"/>
    </row>
    <row r="91" spans="6:6" x14ac:dyDescent="0.25">
      <c r="F91" s="23"/>
    </row>
    <row r="92" spans="6:6" x14ac:dyDescent="0.25">
      <c r="F92" s="23"/>
    </row>
    <row r="93" spans="6:6" x14ac:dyDescent="0.25">
      <c r="F93" s="23"/>
    </row>
    <row r="94" spans="6:6" x14ac:dyDescent="0.25">
      <c r="F94" s="23"/>
    </row>
    <row r="95" spans="6:6" x14ac:dyDescent="0.25">
      <c r="F95" s="23"/>
    </row>
    <row r="96" spans="6:6" x14ac:dyDescent="0.25">
      <c r="F96" s="23"/>
    </row>
    <row r="97" spans="1:6" x14ac:dyDescent="0.25">
      <c r="F97" s="23"/>
    </row>
    <row r="98" spans="1:6" x14ac:dyDescent="0.25">
      <c r="F98" s="23"/>
    </row>
    <row r="99" spans="1:6" x14ac:dyDescent="0.25">
      <c r="F99" s="23"/>
    </row>
    <row r="100" spans="1:6" x14ac:dyDescent="0.25">
      <c r="F100" s="23"/>
    </row>
    <row r="101" spans="1:6" x14ac:dyDescent="0.25">
      <c r="F101" s="23"/>
    </row>
    <row r="102" spans="1:6" x14ac:dyDescent="0.25">
      <c r="F102" s="23"/>
    </row>
    <row r="103" spans="1:6" x14ac:dyDescent="0.25">
      <c r="F103" s="23"/>
    </row>
    <row r="104" spans="1:6" x14ac:dyDescent="0.25">
      <c r="F104" s="23"/>
    </row>
    <row r="105" spans="1:6" x14ac:dyDescent="0.25">
      <c r="F105" s="23"/>
    </row>
    <row r="106" spans="1:6" x14ac:dyDescent="0.25">
      <c r="F106" s="23"/>
    </row>
    <row r="107" spans="1:6" ht="21" x14ac:dyDescent="0.25">
      <c r="A107" s="96" t="s">
        <v>185</v>
      </c>
      <c r="B107" s="96"/>
      <c r="C107" s="96"/>
      <c r="D107" s="96"/>
      <c r="E107" s="96"/>
      <c r="F107" s="23"/>
    </row>
    <row r="108" spans="1:6" x14ac:dyDescent="0.25">
      <c r="A108" s="41"/>
      <c r="B108" s="41"/>
      <c r="C108" s="41"/>
      <c r="D108" s="41"/>
      <c r="E108" s="41"/>
      <c r="F108" s="23"/>
    </row>
    <row r="109" spans="1:6" ht="22.15" customHeight="1" x14ac:dyDescent="0.25">
      <c r="A109" s="41" t="s">
        <v>186</v>
      </c>
      <c r="B109" s="41"/>
      <c r="C109" s="41"/>
      <c r="D109" s="41"/>
      <c r="E109" s="54"/>
      <c r="F109" s="23"/>
    </row>
    <row r="110" spans="1:6" ht="15" customHeight="1" x14ac:dyDescent="0.25">
      <c r="A110" s="41" t="s">
        <v>187</v>
      </c>
      <c r="B110" s="41"/>
      <c r="C110" s="41"/>
      <c r="D110" s="41"/>
      <c r="E110" s="41"/>
      <c r="F110" s="23"/>
    </row>
    <row r="111" spans="1:6" ht="15" customHeight="1" x14ac:dyDescent="0.25">
      <c r="A111" s="41" t="s">
        <v>188</v>
      </c>
      <c r="B111" s="41"/>
      <c r="C111" s="41"/>
      <c r="D111" s="41"/>
      <c r="E111" s="41"/>
      <c r="F111" s="23"/>
    </row>
    <row r="112" spans="1:6" ht="15" customHeight="1" x14ac:dyDescent="0.25">
      <c r="A112" s="41" t="s">
        <v>189</v>
      </c>
      <c r="B112" s="41"/>
      <c r="C112" s="41"/>
      <c r="D112" s="54"/>
      <c r="E112" s="54"/>
      <c r="F112" s="23"/>
    </row>
    <row r="113" spans="1:22" ht="15" customHeight="1" x14ac:dyDescent="0.25">
      <c r="A113" s="41"/>
      <c r="B113" s="41" t="s">
        <v>190</v>
      </c>
      <c r="C113" s="54"/>
      <c r="D113" s="54"/>
      <c r="E113" s="54"/>
      <c r="F113" s="23"/>
    </row>
    <row r="114" spans="1:22" ht="15" customHeight="1" x14ac:dyDescent="0.25">
      <c r="A114" s="41"/>
      <c r="B114" s="41" t="s">
        <v>191</v>
      </c>
      <c r="C114" s="41"/>
      <c r="D114" s="54"/>
      <c r="E114" s="54"/>
      <c r="F114" s="23"/>
    </row>
    <row r="115" spans="1:22" ht="15" customHeight="1" x14ac:dyDescent="0.25">
      <c r="A115" s="41"/>
      <c r="B115" s="41" t="s">
        <v>192</v>
      </c>
      <c r="C115" s="41"/>
      <c r="D115" s="54"/>
      <c r="E115" s="54"/>
      <c r="F115" s="23"/>
      <c r="V115" s="55"/>
    </row>
    <row r="116" spans="1:22" ht="15" customHeight="1" x14ac:dyDescent="0.25">
      <c r="A116" s="41"/>
      <c r="B116" s="41" t="s">
        <v>193</v>
      </c>
      <c r="C116" s="41"/>
      <c r="D116" s="54"/>
      <c r="E116" s="54"/>
      <c r="F116" s="23"/>
    </row>
    <row r="117" spans="1:22" ht="15" customHeight="1" x14ac:dyDescent="0.25">
      <c r="A117" s="41"/>
      <c r="B117" s="41" t="s">
        <v>194</v>
      </c>
      <c r="C117" s="41"/>
      <c r="D117" s="54"/>
      <c r="E117" s="54"/>
      <c r="F117" s="23"/>
    </row>
    <row r="118" spans="1:22" ht="15" customHeight="1" x14ac:dyDescent="0.25">
      <c r="A118" s="41" t="s">
        <v>195</v>
      </c>
      <c r="B118" s="41"/>
      <c r="C118" s="41"/>
      <c r="D118" s="54"/>
      <c r="E118" s="54"/>
      <c r="F118" s="23"/>
    </row>
    <row r="119" spans="1:22" ht="15" customHeight="1" x14ac:dyDescent="0.25">
      <c r="A119" s="41" t="s">
        <v>196</v>
      </c>
      <c r="B119" s="41"/>
      <c r="C119" s="41"/>
      <c r="D119" s="41"/>
      <c r="E119" s="41"/>
      <c r="F119" s="23"/>
    </row>
    <row r="120" spans="1:22" ht="15" customHeight="1" x14ac:dyDescent="0.25">
      <c r="A120" s="41" t="s">
        <v>197</v>
      </c>
      <c r="B120" s="41"/>
      <c r="C120" s="41"/>
      <c r="D120" s="41"/>
      <c r="E120" s="41"/>
      <c r="F120" s="23"/>
    </row>
    <row r="121" spans="1:22" ht="15" customHeight="1" x14ac:dyDescent="0.25">
      <c r="A121" s="56" t="s">
        <v>198</v>
      </c>
      <c r="B121" s="56"/>
      <c r="C121" s="56"/>
      <c r="D121" s="56"/>
      <c r="E121" s="56"/>
      <c r="F121" s="23"/>
    </row>
    <row r="122" spans="1:22" ht="15" customHeight="1" x14ac:dyDescent="0.25">
      <c r="A122" s="56" t="s">
        <v>199</v>
      </c>
      <c r="B122" s="56"/>
      <c r="C122" s="56"/>
      <c r="D122" s="56"/>
      <c r="E122" s="56"/>
      <c r="F122" s="23"/>
    </row>
    <row r="123" spans="1:22" ht="15" customHeight="1" x14ac:dyDescent="0.25">
      <c r="A123" s="56"/>
      <c r="B123" s="56"/>
      <c r="C123" s="56"/>
      <c r="D123" s="56"/>
      <c r="E123" s="56"/>
      <c r="F123" s="23"/>
    </row>
    <row r="124" spans="1:22" ht="15" customHeight="1" x14ac:dyDescent="0.25">
      <c r="A124" s="41"/>
      <c r="B124" s="41"/>
      <c r="C124" s="41"/>
      <c r="D124" s="97"/>
      <c r="E124" s="97"/>
      <c r="F124" s="23"/>
    </row>
    <row r="125" spans="1:22" ht="15" customHeight="1" x14ac:dyDescent="0.25">
      <c r="A125" s="57"/>
      <c r="B125" s="57"/>
      <c r="C125" s="57"/>
      <c r="D125" s="57"/>
      <c r="E125" s="57"/>
      <c r="F125" s="23"/>
    </row>
    <row r="126" spans="1:22" x14ac:dyDescent="0.25">
      <c r="A126" s="27"/>
      <c r="B126" s="27"/>
      <c r="C126" s="27"/>
      <c r="D126" s="27"/>
      <c r="E126" s="27"/>
      <c r="F126" s="23"/>
    </row>
    <row r="127" spans="1:22" x14ac:dyDescent="0.25">
      <c r="A127" s="27"/>
      <c r="B127" s="27"/>
      <c r="C127" s="27"/>
      <c r="D127" s="27"/>
      <c r="E127" s="27"/>
    </row>
    <row r="128" spans="1:22" x14ac:dyDescent="0.25">
      <c r="A128" s="27"/>
      <c r="B128" s="27"/>
      <c r="C128" s="27"/>
      <c r="D128" s="27"/>
      <c r="E128" s="27"/>
    </row>
  </sheetData>
  <protectedRanges>
    <protectedRange algorithmName="SHA-512" hashValue="hsoR6UST/FTasz84YgPI7buidx6MGyAhnzpsodVUb3n+6+JEC/1s6HoOXCcXYBfnlxcXlHEyqRAtcFPPMyvfFw==" saltValue="Hu4OxY6OfyWLO2S7MKA4kw==" spinCount="100000" sqref="C17" name="DMAccessorials"/>
  </protectedRanges>
  <mergeCells count="56">
    <mergeCell ref="A61:E61"/>
    <mergeCell ref="A107:E107"/>
    <mergeCell ref="D124:E124"/>
    <mergeCell ref="D51:E51"/>
    <mergeCell ref="C53:E53"/>
    <mergeCell ref="C54:E54"/>
    <mergeCell ref="C55:E55"/>
    <mergeCell ref="B58:E58"/>
    <mergeCell ref="D50:E50"/>
    <mergeCell ref="D39:E39"/>
    <mergeCell ref="D40:E40"/>
    <mergeCell ref="D41:E41"/>
    <mergeCell ref="D42:E42"/>
    <mergeCell ref="D43:E43"/>
    <mergeCell ref="D44:E44"/>
    <mergeCell ref="D45:E45"/>
    <mergeCell ref="D46:E46"/>
    <mergeCell ref="D47:E47"/>
    <mergeCell ref="D48:E48"/>
    <mergeCell ref="D49:E49"/>
    <mergeCell ref="D38:E38"/>
    <mergeCell ref="D27:E27"/>
    <mergeCell ref="D28:E28"/>
    <mergeCell ref="D29:E29"/>
    <mergeCell ref="D30:E30"/>
    <mergeCell ref="D31:E31"/>
    <mergeCell ref="D32:E32"/>
    <mergeCell ref="D33:E33"/>
    <mergeCell ref="D34:E34"/>
    <mergeCell ref="D35:E35"/>
    <mergeCell ref="D36:E36"/>
    <mergeCell ref="D37:E37"/>
    <mergeCell ref="D26:E26"/>
    <mergeCell ref="D15:E15"/>
    <mergeCell ref="D16:E16"/>
    <mergeCell ref="D17:E17"/>
    <mergeCell ref="D18:E18"/>
    <mergeCell ref="D19:E19"/>
    <mergeCell ref="D20:E20"/>
    <mergeCell ref="D21:E21"/>
    <mergeCell ref="D22:E22"/>
    <mergeCell ref="D23:E23"/>
    <mergeCell ref="D24:E24"/>
    <mergeCell ref="D25:E25"/>
    <mergeCell ref="D14:E14"/>
    <mergeCell ref="A1:E1"/>
    <mergeCell ref="D4:E4"/>
    <mergeCell ref="D5:E5"/>
    <mergeCell ref="D6:E6"/>
    <mergeCell ref="D7:E7"/>
    <mergeCell ref="D8:E8"/>
    <mergeCell ref="D9:E9"/>
    <mergeCell ref="D10:E10"/>
    <mergeCell ref="D11:E11"/>
    <mergeCell ref="D12:E12"/>
    <mergeCell ref="D13:E13"/>
  </mergeCells>
  <hyperlinks>
    <hyperlink ref="B59"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SOW</vt:lpstr>
      <vt:lpstr>Recovery &amp; Clearance </vt:lpstr>
      <vt:lpstr>Courier</vt:lpstr>
      <vt:lpstr>Courier Accessorials</vt:lpstr>
    </vt:vector>
  </TitlesOfParts>
  <Company>Innovapost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Rudman, Kevin</dc:creator>
  <cp:lastModifiedBy>Kennedy, Michele</cp:lastModifiedBy>
  <dcterms:created xsi:type="dcterms:W3CDTF">2020-05-21T19:28:06Z</dcterms:created>
  <dcterms:modified xsi:type="dcterms:W3CDTF">2020-11-02T14:22:42Z</dcterms:modified>
</cp:coreProperties>
</file>